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blasteiner/Desktop/Matlabcodes/Depp_oct2025/"/>
    </mc:Choice>
  </mc:AlternateContent>
  <xr:revisionPtr revIDLastSave="0" documentId="13_ncr:1_{435C7C07-60C3-8747-8219-28929AB258C8}" xr6:coauthVersionLast="47" xr6:coauthVersionMax="47" xr10:uidLastSave="{00000000-0000-0000-0000-000000000000}"/>
  <bookViews>
    <workbookView minimized="1" xWindow="3820" yWindow="2380" windowWidth="27240" windowHeight="16440" xr2:uid="{7F656E62-53BD-E347-8661-64E9FB04985C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8" i="1" l="1"/>
  <c r="P224" i="1"/>
  <c r="P219" i="1"/>
  <c r="P215" i="1"/>
  <c r="P202" i="1"/>
  <c r="P194" i="1"/>
  <c r="P149" i="1"/>
  <c r="P148" i="1"/>
  <c r="P150" i="1"/>
  <c r="P145" i="1"/>
  <c r="O145" i="1"/>
  <c r="P143" i="1"/>
  <c r="O143" i="1"/>
  <c r="P141" i="1"/>
  <c r="P140" i="1"/>
  <c r="O140" i="1"/>
  <c r="P137" i="1"/>
  <c r="O137" i="1"/>
  <c r="P135" i="1"/>
  <c r="O135" i="1"/>
  <c r="P133" i="1"/>
  <c r="O133" i="1"/>
  <c r="P131" i="1"/>
  <c r="O131" i="1"/>
  <c r="P128" i="1"/>
  <c r="O128" i="1"/>
  <c r="P126" i="1"/>
  <c r="O126" i="1"/>
  <c r="P124" i="1"/>
  <c r="O124" i="1"/>
  <c r="P122" i="1"/>
  <c r="O122" i="1"/>
  <c r="P120" i="1"/>
  <c r="P119" i="1"/>
  <c r="P117" i="1"/>
  <c r="O117" i="1"/>
  <c r="P114" i="1"/>
  <c r="O114" i="1"/>
  <c r="P112" i="1"/>
  <c r="O112" i="1"/>
  <c r="P110" i="1"/>
  <c r="O110" i="1"/>
  <c r="P108" i="1"/>
  <c r="O108" i="1"/>
  <c r="P106" i="1"/>
  <c r="O106" i="1"/>
  <c r="P104" i="1"/>
  <c r="O104" i="1"/>
  <c r="P102" i="1"/>
  <c r="O102" i="1"/>
  <c r="P100" i="1"/>
  <c r="P97" i="1"/>
  <c r="O97" i="1"/>
  <c r="P95" i="1"/>
  <c r="O95" i="1"/>
  <c r="P93" i="1"/>
  <c r="O93" i="1"/>
  <c r="P91" i="1"/>
  <c r="P88" i="1"/>
  <c r="O88" i="1"/>
  <c r="P86" i="1"/>
  <c r="O86" i="1"/>
  <c r="P83" i="1"/>
  <c r="P82" i="1"/>
  <c r="P81" i="1"/>
  <c r="O81" i="1"/>
  <c r="P79" i="1"/>
  <c r="O79" i="1"/>
  <c r="P77" i="1"/>
  <c r="O77" i="1"/>
  <c r="P75" i="1"/>
  <c r="O75" i="1"/>
  <c r="P72" i="1"/>
  <c r="P71" i="1"/>
  <c r="O71" i="1"/>
  <c r="P69" i="1"/>
  <c r="O69" i="1"/>
  <c r="P67" i="1"/>
  <c r="P63" i="1"/>
  <c r="O63" i="1"/>
  <c r="P61" i="1"/>
  <c r="P60" i="1"/>
  <c r="O60" i="1"/>
  <c r="P58" i="1"/>
  <c r="P57" i="1"/>
  <c r="O57" i="1"/>
  <c r="P55" i="1"/>
  <c r="P52" i="1"/>
  <c r="O52" i="1"/>
  <c r="P49" i="1"/>
  <c r="O49" i="1"/>
  <c r="P47" i="1"/>
  <c r="O47" i="1"/>
  <c r="P44" i="1"/>
  <c r="O44" i="1"/>
  <c r="P42" i="1"/>
  <c r="P41" i="1"/>
  <c r="O41" i="1"/>
  <c r="P38" i="1"/>
  <c r="O38" i="1"/>
  <c r="P36" i="1"/>
  <c r="O36" i="1"/>
  <c r="P34" i="1"/>
  <c r="O34" i="1"/>
  <c r="P31" i="1"/>
  <c r="O31" i="1"/>
  <c r="P29" i="1"/>
  <c r="O29" i="1"/>
  <c r="P27" i="1"/>
  <c r="P26" i="1"/>
  <c r="O26" i="1"/>
  <c r="P24" i="1"/>
  <c r="O24" i="1"/>
  <c r="P22" i="1"/>
  <c r="P21" i="1"/>
  <c r="O21" i="1"/>
  <c r="P19" i="1"/>
  <c r="O19" i="1"/>
  <c r="P16" i="1"/>
  <c r="O16" i="1"/>
  <c r="P14" i="1"/>
  <c r="O14" i="1"/>
  <c r="P12" i="1"/>
  <c r="O12" i="1"/>
  <c r="P9" i="1"/>
  <c r="P8" i="1"/>
  <c r="O8" i="1"/>
  <c r="P6" i="1"/>
  <c r="O6" i="1"/>
  <c r="P4" i="1"/>
  <c r="BI204" i="1"/>
  <c r="BI203" i="1"/>
  <c r="AJ154" i="1"/>
  <c r="AJ153" i="1"/>
  <c r="AP154" i="1"/>
  <c r="AP153" i="1"/>
  <c r="AO154" i="1"/>
  <c r="AO153" i="1"/>
  <c r="P165" i="1" l="1"/>
  <c r="P154" i="1" l="1"/>
  <c r="P152" i="1"/>
  <c r="BG241" i="1"/>
  <c r="BH241" i="1" s="1"/>
  <c r="BG240" i="1"/>
  <c r="BH240" i="1" s="1"/>
  <c r="AS239" i="1"/>
  <c r="AR239" i="1" s="1"/>
  <c r="BG233" i="1"/>
  <c r="BH234" i="1"/>
  <c r="BG234" i="1" s="1"/>
  <c r="BH233" i="1"/>
  <c r="BD208" i="1"/>
  <c r="BD207" i="1"/>
  <c r="AG198" i="1"/>
  <c r="AG197" i="1"/>
  <c r="BI184" i="1"/>
  <c r="BI183" i="1"/>
  <c r="AP181" i="1"/>
  <c r="AP180" i="1"/>
  <c r="BA160" i="1"/>
  <c r="BE160" i="1"/>
  <c r="BD160" i="1" s="1"/>
  <c r="AJ91" i="1" l="1"/>
  <c r="AK91" i="1" s="1"/>
  <c r="BE167" i="1"/>
  <c r="BE166" i="1"/>
  <c r="BH119" i="1"/>
  <c r="P241" i="1" l="1"/>
  <c r="P238" i="1"/>
  <c r="P236" i="1"/>
  <c r="P234" i="1"/>
  <c r="P232" i="1"/>
  <c r="P230" i="1"/>
  <c r="P227" i="1"/>
  <c r="P223" i="1"/>
  <c r="P221" i="1"/>
  <c r="P218" i="1"/>
  <c r="P214" i="1"/>
  <c r="P212" i="1"/>
  <c r="P208" i="1"/>
  <c r="P206" i="1"/>
  <c r="P204" i="1"/>
  <c r="P200" i="1"/>
  <c r="P198" i="1"/>
  <c r="P196" i="1"/>
  <c r="P192" i="1"/>
  <c r="P190" i="1"/>
  <c r="P188" i="1"/>
  <c r="P186" i="1"/>
  <c r="P184" i="1"/>
  <c r="P181" i="1"/>
  <c r="P179" i="1"/>
  <c r="P177" i="1"/>
  <c r="P175" i="1"/>
  <c r="P173" i="1"/>
  <c r="P171" i="1"/>
  <c r="P169" i="1"/>
  <c r="P167" i="1"/>
  <c r="P163" i="1"/>
  <c r="P159" i="1"/>
  <c r="AJ241" i="1" l="1"/>
  <c r="AJ240" i="1"/>
  <c r="AK240" i="1"/>
  <c r="AK241" i="1"/>
  <c r="AK239" i="1"/>
  <c r="AJ239" i="1" s="1"/>
  <c r="AK238" i="1"/>
  <c r="AJ238" i="1" s="1"/>
  <c r="AK237" i="1"/>
  <c r="AJ237" i="1" s="1"/>
  <c r="AK235" i="1"/>
  <c r="AK236" i="1"/>
  <c r="AK234" i="1"/>
  <c r="AJ234" i="1"/>
  <c r="AK233" i="1"/>
  <c r="AJ233" i="1" s="1"/>
  <c r="AJ214" i="1"/>
  <c r="AJ213" i="1"/>
  <c r="AG211" i="1"/>
  <c r="AF211" i="1" s="1"/>
  <c r="AJ209" i="1"/>
  <c r="AK208" i="1"/>
  <c r="AK207" i="1"/>
  <c r="AK206" i="1"/>
  <c r="AK205" i="1"/>
  <c r="AK204" i="1"/>
  <c r="AJ204" i="1"/>
  <c r="AJ203" i="1"/>
  <c r="AK194" i="1"/>
  <c r="AH194" i="1" s="1"/>
  <c r="AK190" i="1"/>
  <c r="AJ190" i="1" s="1"/>
  <c r="AK181" i="1"/>
  <c r="AJ181" i="1"/>
  <c r="AJ180" i="1"/>
  <c r="AK175" i="1"/>
  <c r="AJ175" i="1"/>
  <c r="BG175" i="1" s="1"/>
  <c r="AJ174" i="1"/>
  <c r="BG174" i="1" s="1"/>
  <c r="AK173" i="1"/>
  <c r="AJ173" i="1" s="1"/>
  <c r="AK169" i="1"/>
  <c r="AJ169" i="1"/>
  <c r="AJ168" i="1"/>
  <c r="AJ167" i="1"/>
  <c r="AJ166" i="1"/>
  <c r="AK164" i="1"/>
  <c r="AJ164" i="1"/>
  <c r="AK163" i="1"/>
  <c r="AJ163" i="1"/>
  <c r="AJ162" i="1"/>
  <c r="AK155" i="1"/>
  <c r="AJ155" i="1"/>
  <c r="AK153" i="1"/>
  <c r="AK154" i="1"/>
  <c r="AK152" i="1"/>
  <c r="AJ152" i="1"/>
  <c r="AK151" i="1"/>
  <c r="AJ151" i="1"/>
  <c r="AG150" i="1"/>
  <c r="AF150" i="1" s="1"/>
  <c r="AG149" i="1"/>
  <c r="AF149" i="1" s="1"/>
  <c r="AG145" i="1"/>
  <c r="AG146" i="1"/>
  <c r="AG144" i="1"/>
  <c r="AF144" i="1"/>
  <c r="AK102" i="1"/>
  <c r="AJ102" i="1" s="1"/>
  <c r="AK101" i="1"/>
  <c r="AJ101" i="1" s="1"/>
  <c r="AF89" i="1"/>
  <c r="AF91" i="1" l="1"/>
  <c r="AG91" i="1"/>
  <c r="BH125" i="1"/>
  <c r="BH103" i="1"/>
  <c r="BH243" i="1" l="1"/>
  <c r="AG243" i="1"/>
  <c r="AF243" i="1"/>
  <c r="U243" i="1"/>
  <c r="P243" i="1"/>
  <c r="BH242" i="1"/>
  <c r="AG242" i="1"/>
  <c r="AD242" i="1" s="1"/>
  <c r="U242" i="1"/>
  <c r="P242" i="1"/>
  <c r="U241" i="1"/>
  <c r="U240" i="1"/>
  <c r="P240" i="1"/>
  <c r="U239" i="1"/>
  <c r="P239" i="1"/>
  <c r="U238" i="1"/>
  <c r="U237" i="1"/>
  <c r="P237" i="1"/>
  <c r="U236" i="1"/>
  <c r="U235" i="1"/>
  <c r="P235" i="1"/>
  <c r="U234" i="1"/>
  <c r="U233" i="1"/>
  <c r="P233" i="1"/>
  <c r="U232" i="1"/>
  <c r="U231" i="1"/>
  <c r="P231" i="1"/>
  <c r="U230" i="1"/>
  <c r="U229" i="1"/>
  <c r="P229" i="1"/>
  <c r="U228" i="1"/>
  <c r="U227" i="1"/>
  <c r="U226" i="1"/>
  <c r="P226" i="1"/>
  <c r="U225" i="1"/>
  <c r="P225" i="1"/>
  <c r="U224" i="1"/>
  <c r="U223" i="1"/>
  <c r="U222" i="1"/>
  <c r="P222" i="1"/>
  <c r="U221" i="1"/>
  <c r="U220" i="1"/>
  <c r="P220" i="1"/>
  <c r="U219" i="1"/>
  <c r="U218" i="1"/>
  <c r="U217" i="1"/>
  <c r="P217" i="1"/>
  <c r="BI216" i="1"/>
  <c r="AG216" i="1"/>
  <c r="AD216" i="1" s="1"/>
  <c r="U216" i="1"/>
  <c r="P216" i="1"/>
  <c r="AK215" i="1"/>
  <c r="AJ215" i="1" s="1"/>
  <c r="U215" i="1"/>
  <c r="BH214" i="1"/>
  <c r="BI214" i="1" s="1"/>
  <c r="AK214" i="1"/>
  <c r="AG214" i="1"/>
  <c r="AD214" i="1" s="1"/>
  <c r="U214" i="1"/>
  <c r="BH213" i="1"/>
  <c r="BI213" i="1" s="1"/>
  <c r="AK213" i="1"/>
  <c r="AG213" i="1"/>
  <c r="AD213" i="1" s="1"/>
  <c r="U213" i="1"/>
  <c r="P213" i="1"/>
  <c r="BH212" i="1"/>
  <c r="BI212" i="1" s="1"/>
  <c r="AG212" i="1"/>
  <c r="AF212" i="1" s="1"/>
  <c r="U212" i="1"/>
  <c r="BH211" i="1"/>
  <c r="BI211" i="1" s="1"/>
  <c r="U211" i="1"/>
  <c r="P211" i="1"/>
  <c r="BH210" i="1"/>
  <c r="BI210" i="1" s="1"/>
  <c r="AK210" i="1"/>
  <c r="AH210" i="1" s="1"/>
  <c r="U210" i="1"/>
  <c r="P210" i="1"/>
  <c r="BH209" i="1"/>
  <c r="BG209" i="1" s="1"/>
  <c r="AK209" i="1"/>
  <c r="U209" i="1"/>
  <c r="P209" i="1"/>
  <c r="BH208" i="1"/>
  <c r="BI208" i="1" s="1"/>
  <c r="U208" i="1"/>
  <c r="BH207" i="1"/>
  <c r="BI207" i="1" s="1"/>
  <c r="U207" i="1"/>
  <c r="P207" i="1"/>
  <c r="BH206" i="1"/>
  <c r="BI206" i="1" s="1"/>
  <c r="U206" i="1"/>
  <c r="BH205" i="1"/>
  <c r="BI205" i="1" s="1"/>
  <c r="U205" i="1"/>
  <c r="P205" i="1"/>
  <c r="U204" i="1"/>
  <c r="AK203" i="1"/>
  <c r="U203" i="1"/>
  <c r="P203" i="1"/>
  <c r="BH202" i="1"/>
  <c r="BI202" i="1" s="1"/>
  <c r="AK202" i="1"/>
  <c r="AJ202" i="1" s="1"/>
  <c r="U202" i="1"/>
  <c r="AK201" i="1"/>
  <c r="AJ201" i="1" s="1"/>
  <c r="AG201" i="1"/>
  <c r="AD201" i="1" s="1"/>
  <c r="U201" i="1"/>
  <c r="P201" i="1"/>
  <c r="U200" i="1"/>
  <c r="U199" i="1"/>
  <c r="P199" i="1"/>
  <c r="U198" i="1"/>
  <c r="U197" i="1"/>
  <c r="P197" i="1"/>
  <c r="BH196" i="1"/>
  <c r="BI196" i="1" s="1"/>
  <c r="AK196" i="1"/>
  <c r="AJ196" i="1" s="1"/>
  <c r="U196" i="1"/>
  <c r="BH195" i="1"/>
  <c r="BI195" i="1" s="1"/>
  <c r="AK195" i="1"/>
  <c r="AJ195" i="1" s="1"/>
  <c r="U195" i="1"/>
  <c r="P195" i="1"/>
  <c r="BH194" i="1"/>
  <c r="BI194" i="1" s="1"/>
  <c r="U194" i="1"/>
  <c r="U193" i="1"/>
  <c r="P193" i="1"/>
  <c r="AK192" i="1"/>
  <c r="AJ192" i="1" s="1"/>
  <c r="U192" i="1"/>
  <c r="AK191" i="1"/>
  <c r="AJ191" i="1" s="1"/>
  <c r="U191" i="1"/>
  <c r="P191" i="1"/>
  <c r="BH190" i="1"/>
  <c r="BI190" i="1" s="1"/>
  <c r="U190" i="1"/>
  <c r="BH189" i="1"/>
  <c r="BI189" i="1" s="1"/>
  <c r="AK189" i="1"/>
  <c r="AJ189" i="1" s="1"/>
  <c r="U189" i="1"/>
  <c r="P189" i="1"/>
  <c r="BH188" i="1"/>
  <c r="AK188" i="1"/>
  <c r="AH188" i="1" s="1"/>
  <c r="AG188" i="1"/>
  <c r="AF188" i="1" s="1"/>
  <c r="U188" i="1"/>
  <c r="BH187" i="1"/>
  <c r="AK187" i="1"/>
  <c r="AH187" i="1" s="1"/>
  <c r="AG187" i="1"/>
  <c r="AF187" i="1" s="1"/>
  <c r="U187" i="1"/>
  <c r="P187" i="1"/>
  <c r="BH186" i="1"/>
  <c r="BI186" i="1" s="1"/>
  <c r="AK186" i="1"/>
  <c r="AJ186" i="1" s="1"/>
  <c r="U186" i="1"/>
  <c r="BH185" i="1"/>
  <c r="BI185" i="1" s="1"/>
  <c r="AK185" i="1"/>
  <c r="AJ185" i="1" s="1"/>
  <c r="U185" i="1"/>
  <c r="P185" i="1"/>
  <c r="AK184" i="1"/>
  <c r="AJ184" i="1" s="1"/>
  <c r="U184" i="1"/>
  <c r="AK183" i="1"/>
  <c r="AJ183" i="1" s="1"/>
  <c r="U183" i="1"/>
  <c r="P183" i="1"/>
  <c r="BH182" i="1"/>
  <c r="BG182" i="1" s="1"/>
  <c r="AG182" i="1"/>
  <c r="AF182" i="1" s="1"/>
  <c r="U182" i="1"/>
  <c r="P182" i="1"/>
  <c r="BH181" i="1"/>
  <c r="BG181" i="1" s="1"/>
  <c r="U181" i="1"/>
  <c r="BH180" i="1"/>
  <c r="BG180" i="1" s="1"/>
  <c r="AK180" i="1"/>
  <c r="U180" i="1"/>
  <c r="P180" i="1"/>
  <c r="BH179" i="1"/>
  <c r="AG179" i="1"/>
  <c r="AD179" i="1" s="1"/>
  <c r="U179" i="1"/>
  <c r="BH178" i="1"/>
  <c r="AG178" i="1"/>
  <c r="AD178" i="1" s="1"/>
  <c r="U178" i="1"/>
  <c r="P178" i="1"/>
  <c r="AG177" i="1"/>
  <c r="AF177" i="1"/>
  <c r="U177" i="1"/>
  <c r="AG176" i="1"/>
  <c r="AF176" i="1"/>
  <c r="U176" i="1"/>
  <c r="P176" i="1"/>
  <c r="BH175" i="1"/>
  <c r="BI175" i="1" s="1"/>
  <c r="U175" i="1"/>
  <c r="BH174" i="1"/>
  <c r="BI174" i="1" s="1"/>
  <c r="AK174" i="1"/>
  <c r="U174" i="1"/>
  <c r="P174" i="1"/>
  <c r="U173" i="1"/>
  <c r="AK172" i="1"/>
  <c r="AJ172" i="1" s="1"/>
  <c r="U172" i="1"/>
  <c r="P172" i="1"/>
  <c r="BH171" i="1"/>
  <c r="BI171" i="1" s="1"/>
  <c r="AG171" i="1"/>
  <c r="AD171" i="1" s="1"/>
  <c r="U171" i="1"/>
  <c r="BH170" i="1"/>
  <c r="BI170" i="1" s="1"/>
  <c r="AG170" i="1"/>
  <c r="AD170" i="1" s="1"/>
  <c r="U170" i="1"/>
  <c r="P170" i="1"/>
  <c r="BH169" i="1"/>
  <c r="BI169" i="1" s="1"/>
  <c r="U169" i="1"/>
  <c r="BH168" i="1"/>
  <c r="BI168" i="1" s="1"/>
  <c r="AK168" i="1"/>
  <c r="U168" i="1"/>
  <c r="P168" i="1"/>
  <c r="AK167" i="1"/>
  <c r="U167" i="1"/>
  <c r="AK166" i="1"/>
  <c r="U166" i="1"/>
  <c r="P166" i="1"/>
  <c r="BH165" i="1"/>
  <c r="BI165" i="1" s="1"/>
  <c r="AK165" i="1"/>
  <c r="AJ165" i="1" s="1"/>
  <c r="U165" i="1"/>
  <c r="BH164" i="1"/>
  <c r="BI164" i="1" s="1"/>
  <c r="U164" i="1"/>
  <c r="P164" i="1"/>
  <c r="BH163" i="1"/>
  <c r="BI163" i="1" s="1"/>
  <c r="U163" i="1"/>
  <c r="BH162" i="1"/>
  <c r="BI162" i="1" s="1"/>
  <c r="AK162" i="1"/>
  <c r="U162" i="1"/>
  <c r="P162" i="1"/>
  <c r="BI161" i="1"/>
  <c r="AG161" i="1"/>
  <c r="AF161" i="1" s="1"/>
  <c r="U161" i="1"/>
  <c r="P161" i="1"/>
  <c r="AK160" i="1"/>
  <c r="AG160" i="1"/>
  <c r="AF160" i="1" s="1"/>
  <c r="U160" i="1"/>
  <c r="P160" i="1"/>
  <c r="AG159" i="1"/>
  <c r="AF159" i="1" s="1"/>
  <c r="U159" i="1"/>
  <c r="AG158" i="1"/>
  <c r="AF158" i="1" s="1"/>
  <c r="U158" i="1"/>
  <c r="P158" i="1"/>
  <c r="AK157" i="1"/>
  <c r="U157" i="1"/>
  <c r="P157" i="1"/>
  <c r="AG156" i="1"/>
  <c r="AF156" i="1" s="1"/>
  <c r="U156" i="1"/>
  <c r="P156" i="1"/>
  <c r="BH155" i="1"/>
  <c r="BI155" i="1" s="1"/>
  <c r="AG155" i="1"/>
  <c r="AD155" i="1" s="1"/>
  <c r="U155" i="1"/>
  <c r="P155" i="1"/>
  <c r="U154" i="1"/>
  <c r="U153" i="1"/>
  <c r="P153" i="1"/>
  <c r="U152" i="1"/>
  <c r="U151" i="1"/>
  <c r="P151" i="1"/>
  <c r="U150" i="1"/>
  <c r="U149" i="1"/>
  <c r="U148" i="1"/>
  <c r="U147" i="1"/>
  <c r="AF146" i="1"/>
  <c r="U146" i="1"/>
  <c r="AF145" i="1"/>
  <c r="U145" i="1"/>
  <c r="U144" i="1"/>
  <c r="U143" i="1"/>
  <c r="U142" i="1"/>
  <c r="AG141" i="1"/>
  <c r="AD141" i="1" s="1"/>
  <c r="U141" i="1"/>
  <c r="U140" i="1"/>
  <c r="U139" i="1"/>
  <c r="BH138" i="1"/>
  <c r="BI138" i="1" s="1"/>
  <c r="AG138" i="1"/>
  <c r="AF138" i="1"/>
  <c r="U138" i="1"/>
  <c r="U137" i="1"/>
  <c r="U136" i="1"/>
  <c r="BH135" i="1"/>
  <c r="BI135" i="1" s="1"/>
  <c r="AG135" i="1"/>
  <c r="AD135" i="1" s="1"/>
  <c r="U135" i="1"/>
  <c r="BH134" i="1"/>
  <c r="BI134" i="1" s="1"/>
  <c r="AG134" i="1"/>
  <c r="AD134" i="1" s="1"/>
  <c r="U134" i="1"/>
  <c r="BH133" i="1"/>
  <c r="U133" i="1"/>
  <c r="BH132" i="1"/>
  <c r="U132" i="1"/>
  <c r="BH131" i="1"/>
  <c r="AG131" i="1"/>
  <c r="AF131" i="1"/>
  <c r="U131" i="1"/>
  <c r="BH130" i="1"/>
  <c r="AG130" i="1"/>
  <c r="AF130" i="1"/>
  <c r="U130" i="1"/>
  <c r="AG129" i="1"/>
  <c r="AF129" i="1"/>
  <c r="U129" i="1"/>
  <c r="BH128" i="1"/>
  <c r="AG128" i="1"/>
  <c r="AF128" i="1"/>
  <c r="U128" i="1"/>
  <c r="BH127" i="1"/>
  <c r="AG127" i="1"/>
  <c r="AF127" i="1"/>
  <c r="U127" i="1"/>
  <c r="BH126" i="1"/>
  <c r="AG126" i="1"/>
  <c r="AF126" i="1"/>
  <c r="U126" i="1"/>
  <c r="AG125" i="1"/>
  <c r="AF125" i="1"/>
  <c r="U125" i="1"/>
  <c r="BH124" i="1"/>
  <c r="U124" i="1"/>
  <c r="BH123" i="1"/>
  <c r="U123" i="1"/>
  <c r="U122" i="1"/>
  <c r="U121" i="1"/>
  <c r="U120" i="1"/>
  <c r="AG119" i="1"/>
  <c r="AF119" i="1"/>
  <c r="U119" i="1"/>
  <c r="BH118" i="1"/>
  <c r="AG118" i="1"/>
  <c r="AF118" i="1"/>
  <c r="U118" i="1"/>
  <c r="U117" i="1"/>
  <c r="U116" i="1"/>
  <c r="U115" i="1"/>
  <c r="U114" i="1"/>
  <c r="U113" i="1"/>
  <c r="AG112" i="1"/>
  <c r="AF112" i="1"/>
  <c r="U112" i="1"/>
  <c r="AG111" i="1"/>
  <c r="AF111" i="1"/>
  <c r="U111" i="1"/>
  <c r="AG110" i="1"/>
  <c r="AF110" i="1"/>
  <c r="U110" i="1"/>
  <c r="AG109" i="1"/>
  <c r="AF109" i="1"/>
  <c r="U109" i="1"/>
  <c r="U108" i="1"/>
  <c r="U107" i="1"/>
  <c r="U106" i="1"/>
  <c r="U105" i="1"/>
  <c r="BH104" i="1"/>
  <c r="U104" i="1"/>
  <c r="U103" i="1"/>
  <c r="AG102" i="1"/>
  <c r="AD102" i="1" s="1"/>
  <c r="U102" i="1"/>
  <c r="AG101" i="1"/>
  <c r="AD101" i="1" s="1"/>
  <c r="U101" i="1"/>
  <c r="U100" i="1"/>
  <c r="U99" i="1"/>
  <c r="U98" i="1"/>
  <c r="U97" i="1"/>
  <c r="U96" i="1"/>
  <c r="AG95" i="1"/>
  <c r="AF95" i="1"/>
  <c r="U95" i="1"/>
  <c r="AG94" i="1"/>
  <c r="AF94" i="1"/>
  <c r="U94" i="1"/>
  <c r="AG93" i="1"/>
  <c r="AD93" i="1" s="1"/>
  <c r="U93" i="1"/>
  <c r="AG92" i="1"/>
  <c r="AD92" i="1" s="1"/>
  <c r="U92" i="1"/>
  <c r="BH91" i="1"/>
  <c r="BI91" i="1" s="1"/>
  <c r="AP91" i="1" s="1"/>
  <c r="U91" i="1"/>
  <c r="U90" i="1"/>
  <c r="AG89" i="1"/>
  <c r="U89" i="1"/>
  <c r="U88" i="1"/>
  <c r="U87" i="1"/>
  <c r="U86" i="1"/>
  <c r="U85" i="1"/>
  <c r="AG84" i="1"/>
  <c r="AD84" i="1" s="1"/>
  <c r="U84" i="1"/>
  <c r="U83" i="1"/>
  <c r="AG82" i="1"/>
  <c r="AF82" i="1"/>
  <c r="U82" i="1"/>
  <c r="AG81" i="1"/>
  <c r="AF81" i="1"/>
  <c r="U81" i="1"/>
  <c r="AG80" i="1"/>
  <c r="AF80" i="1"/>
  <c r="U80" i="1"/>
  <c r="U79" i="1"/>
  <c r="U78" i="1"/>
  <c r="U77" i="1"/>
  <c r="U76" i="1"/>
  <c r="U75" i="1"/>
  <c r="Q75" i="1"/>
  <c r="U74" i="1"/>
  <c r="Q74" i="1"/>
  <c r="U73" i="1"/>
  <c r="AG72" i="1"/>
  <c r="AF72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AG57" i="1"/>
  <c r="AF57" i="1"/>
  <c r="U57" i="1"/>
  <c r="AG56" i="1"/>
  <c r="AF56" i="1"/>
  <c r="U56" i="1"/>
  <c r="U55" i="1"/>
  <c r="U54" i="1"/>
  <c r="U53" i="1"/>
  <c r="U52" i="1"/>
  <c r="Q52" i="1"/>
  <c r="U51" i="1"/>
  <c r="Q51" i="1"/>
  <c r="AG50" i="1"/>
  <c r="AF50" i="1"/>
  <c r="U50" i="1"/>
  <c r="U49" i="1"/>
  <c r="U48" i="1"/>
  <c r="U47" i="1"/>
  <c r="U46" i="1"/>
  <c r="U45" i="1"/>
  <c r="U44" i="1"/>
  <c r="U43" i="1"/>
  <c r="U42" i="1"/>
  <c r="U41" i="1"/>
  <c r="U40" i="1"/>
  <c r="AG39" i="1"/>
  <c r="AF39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AG4" i="1"/>
  <c r="AF4" i="1"/>
  <c r="U4" i="1"/>
  <c r="AJ160" i="1" l="1"/>
  <c r="AH160" i="1" s="1"/>
  <c r="AD177" i="1"/>
  <c r="AD1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Mikael Landén</author>
    <author>Embla Steiner</author>
    <author>tc={58629DB6-17CD-524E-87CC-222F6A8CF321}</author>
    <author>tc={4C66817C-E52A-2A43-9801-A2582BA3303A}</author>
    <author>tc={CFC87D70-5570-8A44-A065-5696267E742F}</author>
    <author>tc={3E3048E2-76BB-8D48-9BE8-B0D5C352AF55}</author>
    <author>Microsoft Office User</author>
    <author>tc={385933CC-BE7F-FD43-8842-DEF8600BB058}</author>
    <author>tc={F441973C-73CB-CF46-B4A4-C96401636DB4}</author>
    <author>tc={F38CFB43-041C-C64C-9D56-BF15140B146D}</author>
    <author>tc={DE4626B7-85E1-3B48-83D6-0AA8CAD93F9E}</author>
    <author>tc={18750545-A81F-7941-BCF1-3BE45E9254B8}</author>
    <author>tc={7C6F6F99-D3F0-D242-A7E3-D9D63054706B}</author>
    <author>tc={7D68FCB0-8B0D-C745-BBB1-6B79DA9D1FC0}</author>
    <author>tc={1351C83D-4734-2142-AE3E-81F4E10FDD41}</author>
    <author>tc={4FC6A94F-5DE3-F84E-BB0C-ED442FBC5087}</author>
    <author>tc={CDB48836-95AB-694E-A888-A3D79ABE5E81}</author>
  </authors>
  <commentList>
    <comment ref="AH3" authorId="0" shapeId="0" xr:uid="{42BD8CC7-6342-9148-A704-8C6C0DFADDD0}">
      <text>
        <r>
          <rPr>
            <sz val="12"/>
            <color rgb="FF3F3F76"/>
            <rFont val="Calibri"/>
            <family val="2"/>
          </rPr>
          <t>Mikael Landén:</t>
        </r>
        <r>
          <rPr>
            <b/>
            <sz val="12"/>
            <color rgb="FF3F3F3F"/>
            <rFont val="Calibri"/>
            <family val="2"/>
          </rPr>
          <t xml:space="preserve">
</t>
        </r>
        <r>
          <rPr>
            <b/>
            <sz val="12"/>
            <color rgb="FF3F3F3F"/>
            <rFont val="Calibri"/>
            <family val="2"/>
          </rPr>
          <t xml:space="preserve">Number of years
</t>
        </r>
      </text>
    </comment>
    <comment ref="G4" authorId="1" shapeId="0" xr:uid="{D0F9668D-5A48-2E48-8AE1-F6FEF3B6AF03}">
      <text>
        <r>
          <rPr>
            <b/>
            <sz val="10"/>
            <color rgb="FF000000"/>
            <rFont val="Tahoma"/>
            <family val="2"/>
          </rPr>
          <t>Embla Steiner: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published file</t>
        </r>
      </text>
    </comment>
    <comment ref="N46" authorId="1" shapeId="0" xr:uid="{A8412D3D-C3C9-8C40-A231-B6D0B4C080B1}">
      <text>
        <r>
          <rPr>
            <i/>
            <sz val="12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missing value from alcohol file </t>
        </r>
      </text>
    </comment>
    <comment ref="T46" authorId="1" shapeId="0" xr:uid="{066DD0B7-6C86-F24C-92A3-3A55C9A732CA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missing value from alcohol file </t>
        </r>
      </text>
    </comment>
    <comment ref="N47" authorId="1" shapeId="0" xr:uid="{F0AD979F-1BEC-BB49-800A-E648F549DB95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T47" authorId="1" shapeId="0" xr:uid="{405B80EA-78DC-A243-B1CB-0E9541F66EAF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N58" authorId="1" shapeId="0" xr:uid="{74C76421-B2AD-6F45-80C0-2592EC3DEA5A}">
      <text>
        <r>
          <rPr>
            <i/>
            <sz val="12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T58" authorId="1" shapeId="0" xr:uid="{1F3AD4FC-4B85-DC4F-A10E-E75AECBD50E0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N71" authorId="1" shapeId="0" xr:uid="{23465A55-F30C-B84D-AA5A-3D7C79A4DD92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T71" authorId="1" shapeId="0" xr:uid="{79928613-35F7-7045-9B7D-37CDADDA6604}">
      <text>
        <r>
          <rPr>
            <b/>
            <sz val="10"/>
            <color rgb="FF000000"/>
            <rFont val="Calibri"/>
            <family val="2"/>
          </rPr>
          <t>Embla Steiner: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missing value from alcohol file</t>
        </r>
      </text>
    </comment>
    <comment ref="AJ91" authorId="2" shapeId="0" xr:uid="{58629DB6-17CD-524E-87CC-222F6A8CF3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According to Michaels Depp at age 65. But sari in earlier. Go with register</t>
      </text>
    </comment>
    <comment ref="AL94" authorId="3" shapeId="0" xr:uid="{4C66817C-E52A-2A43-9801-A2582BA330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mike’s file there are numbers but no yes on AD. I think this years is for the sample above in mike’s file- thus no AD in this patient. </t>
      </text>
    </comment>
    <comment ref="BD98" authorId="4" shapeId="0" xr:uid="{CFC87D70-5570-8A44-A065-5696267E74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According to mikael 0.5 year NL?</t>
      </text>
    </comment>
    <comment ref="BG132" authorId="5" shapeId="0" xr:uid="{3E3048E2-76BB-8D48-9BE8-B0D5C352AF55}">
      <text>
        <t>[Threaded comment]
Your version of Excel allows you to read this threaded comment; however, any edits to it will get removed if the file is opened in a newer version of Excel. Learn more: https://go.microsoft.com/fwlink/?linkid=870924
Comment:
    Sertraline 2011-06-10</t>
      </text>
    </comment>
    <comment ref="Q141" authorId="6" shapeId="0" xr:uid="{85907E27-CC8C-8D42-95A8-88535DA31931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facsblad saknas</t>
        </r>
      </text>
    </comment>
    <comment ref="AH153" authorId="7" shapeId="0" xr:uid="{385933CC-BE7F-FD43-8842-DEF8600BB05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discussion with Mikaela- we set 10 years tot it was wrong in his original file</t>
      </text>
    </comment>
    <comment ref="AN153" authorId="8" shapeId="0" xr:uid="{F441973C-73CB-CF46-B4A4-C96401636DB4}">
      <text>
        <t>[Threaded comment]
Your version of Excel allows you to read this threaded comment; however, any edits to it will get removed if the file is opened in a newer version of Excel. Learn more: https://go.microsoft.com/fwlink/?linkid=870924
Comment:
    Citalopram in policereport</t>
      </text>
    </comment>
    <comment ref="BI153" authorId="9" shapeId="0" xr:uid="{F38CFB43-041C-C64C-9D56-BF15140B146D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discussion with mikael we set 10 years, his original file was wrong</t>
      </text>
    </comment>
    <comment ref="AH164" authorId="10" shapeId="0" xr:uid="{DE4626B7-85E1-3B48-83D6-0AA8CAD93F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Mikes says 5, but first antidepwas 2005,8 total amount 4.4 go for this instead? </t>
      </text>
    </comment>
    <comment ref="AO174" authorId="11" shapeId="0" xr:uid="{18750545-A81F-7941-BCF1-3BE45E9254B8}">
      <text>
        <t>[Threaded comment]
Your version of Excel allows you to read this threaded comment; however, any edits to it will get removed if the file is opened in a newer version of Excel. Learn more: https://go.microsoft.com/fwlink/?linkid=870924
Comment:
    Citalopram enl dokument</t>
      </text>
    </comment>
    <comment ref="AH196" authorId="12" shapeId="0" xr:uid="{7C6F6F99-D3F0-D242-A7E3-D9D6305470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Enligt intervju depp sedan 3 år </t>
      </text>
    </comment>
    <comment ref="F200" authorId="6" shapeId="0" xr:uid="{05BCE232-FB67-164A-A8F5-52D168FDBDEB}">
      <text>
        <r>
          <rPr>
            <b/>
            <sz val="10"/>
            <color rgb="FF000000"/>
            <rFont val="Calibri"/>
            <family val="2"/>
          </rPr>
          <t>Microsoft Office User: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dubbelkolla pga fel i organized file 210 var 215
</t>
        </r>
      </text>
    </comment>
    <comment ref="Z205" authorId="13" shapeId="0" xr:uid="{7D68FCB0-8B0D-C745-BBB1-6B79DA9D1F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MDE enligt ML. Dock diagnos depp 1996. Suicidal i slutet. RDD? </t>
      </text>
    </comment>
    <comment ref="AU209" authorId="14" shapeId="0" xr:uid="{1351C83D-4734-2142-AE3E-81F4E10FDD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According to ML AD 9 years. Unclear what first. </t>
      </text>
    </comment>
    <comment ref="Q229" authorId="1" shapeId="0" xr:uid="{523085FF-E6BF-2D47-895D-82664C4D7C0B}">
      <text>
        <r>
          <rPr>
            <b/>
            <sz val="10"/>
            <color rgb="FF000000"/>
            <rFont val="Tahoma"/>
            <family val="2"/>
          </rPr>
          <t>Embla Steiner: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these were initially swapped 
</t>
        </r>
      </text>
    </comment>
    <comment ref="AR239" authorId="15" shapeId="0" xr:uid="{4FC6A94F-5DE3-F84E-BB0C-ED442FBC50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blood at time of death. Depressed 2 weeks, had some antidepressants </t>
      </text>
    </comment>
    <comment ref="BG240" authorId="16" shapeId="0" xr:uid="{CDB48836-95AB-694E-A888-A3D79ABE5E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completely sure. According to ML sometime in the 50s of the patient. Tried for suicide 10 years before death so maybe around that time?</t>
      </text>
    </comment>
  </commentList>
</comments>
</file>

<file path=xl/sharedStrings.xml><?xml version="1.0" encoding="utf-8"?>
<sst xmlns="http://schemas.openxmlformats.org/spreadsheetml/2006/main" count="3593" uniqueCount="403">
  <si>
    <t>num</t>
  </si>
  <si>
    <t>txt</t>
  </si>
  <si>
    <t>SAMPLE</t>
  </si>
  <si>
    <t>published</t>
  </si>
  <si>
    <t>LABELLING</t>
  </si>
  <si>
    <t>ID</t>
  </si>
  <si>
    <t>BMI</t>
  </si>
  <si>
    <t>DOB</t>
  </si>
  <si>
    <t>DOC</t>
  </si>
  <si>
    <t>sex</t>
  </si>
  <si>
    <t>nano_260_280</t>
  </si>
  <si>
    <t>nano_260_230</t>
  </si>
  <si>
    <t>F14C</t>
  </si>
  <si>
    <t>F14C_ERR</t>
  </si>
  <si>
    <t>Delta14C</t>
  </si>
  <si>
    <t>Delta14C_ERR</t>
  </si>
  <si>
    <t>Delta14C_corr</t>
  </si>
  <si>
    <t>F14C_corr</t>
  </si>
  <si>
    <t>Nuclei</t>
  </si>
  <si>
    <t>purity</t>
  </si>
  <si>
    <t>c_sent</t>
  </si>
  <si>
    <t>c_meas</t>
  </si>
  <si>
    <t>c_Sent_minus_c_meas</t>
  </si>
  <si>
    <t>MOD</t>
  </si>
  <si>
    <t>smoke_druid</t>
  </si>
  <si>
    <t>summary_COD</t>
  </si>
  <si>
    <t>group</t>
  </si>
  <si>
    <t>summary_depp</t>
  </si>
  <si>
    <t>summary_abuse</t>
  </si>
  <si>
    <t>years_abuse</t>
  </si>
  <si>
    <t>information_source_years_alc</t>
  </si>
  <si>
    <t>year_of_onset_alc</t>
  </si>
  <si>
    <t>year_disease_end_alc</t>
  </si>
  <si>
    <t>YEARS_depp</t>
  </si>
  <si>
    <t>information_source_years_depp</t>
  </si>
  <si>
    <t>year_of_onset_depp</t>
  </si>
  <si>
    <t>year_disease_end_depp</t>
  </si>
  <si>
    <t>antidepp</t>
  </si>
  <si>
    <t>information_source_years_antidepp</t>
  </si>
  <si>
    <t>first_in_register</t>
  </si>
  <si>
    <t>last_in_register</t>
  </si>
  <si>
    <t>years_AD</t>
  </si>
  <si>
    <t>other_relevant_diagnosis</t>
  </si>
  <si>
    <t>hemisphere_zone</t>
  </si>
  <si>
    <t>yes</t>
  </si>
  <si>
    <t>NeuN+</t>
  </si>
  <si>
    <t>BR1337/NIH1337</t>
  </si>
  <si>
    <t>M</t>
  </si>
  <si>
    <t>Natural</t>
  </si>
  <si>
    <t>Yes</t>
  </si>
  <si>
    <t>hypertensive cardiovascular disease</t>
  </si>
  <si>
    <t>ETOH</t>
  </si>
  <si>
    <t>info from brain bank</t>
  </si>
  <si>
    <t>south</t>
  </si>
  <si>
    <t>NeuN-</t>
  </si>
  <si>
    <t>HCC BG</t>
  </si>
  <si>
    <t>No</t>
  </si>
  <si>
    <t>coronary artery thrombosis</t>
  </si>
  <si>
    <t>Control</t>
  </si>
  <si>
    <t>NaN</t>
  </si>
  <si>
    <t>HccAO</t>
  </si>
  <si>
    <t>intracerebral hemorrhage spontaneous</t>
  </si>
  <si>
    <t>Coc</t>
  </si>
  <si>
    <t>no</t>
  </si>
  <si>
    <t>HCcAT</t>
  </si>
  <si>
    <t>hypertensive cardiomyopathy</t>
  </si>
  <si>
    <t>HccAW</t>
  </si>
  <si>
    <t>acute cocaine overdose</t>
  </si>
  <si>
    <t>HCcBC</t>
  </si>
  <si>
    <t>F</t>
  </si>
  <si>
    <t>HCcBP</t>
  </si>
  <si>
    <t>cardiac arrest</t>
  </si>
  <si>
    <t>HCcCK</t>
  </si>
  <si>
    <t>arteriosclerotic cardiovascular disease</t>
  </si>
  <si>
    <t>HccCS</t>
  </si>
  <si>
    <t>acute cocaine toxicity</t>
  </si>
  <si>
    <t>HccDY</t>
  </si>
  <si>
    <t>recent occlusive coronary artery thrombosis</t>
  </si>
  <si>
    <t>HCcEH</t>
  </si>
  <si>
    <t>atherosclerotic coronary artery disease</t>
  </si>
  <si>
    <t>HCcGH</t>
  </si>
  <si>
    <t>atherosclerotic cardiovascular disease</t>
  </si>
  <si>
    <t>HCcGW</t>
  </si>
  <si>
    <t>hypertrophic heart disease</t>
  </si>
  <si>
    <t>HccHJ</t>
  </si>
  <si>
    <t>hypertensive heart disease</t>
  </si>
  <si>
    <t>HccHM</t>
  </si>
  <si>
    <t>cocaine toxicity</t>
  </si>
  <si>
    <t>HCcHY</t>
  </si>
  <si>
    <t>cocaine intoxication</t>
  </si>
  <si>
    <t>HccNI</t>
  </si>
  <si>
    <t>HccNS</t>
  </si>
  <si>
    <t>cocaine use</t>
  </si>
  <si>
    <t>HccNY</t>
  </si>
  <si>
    <t>delirium tremens</t>
  </si>
  <si>
    <t>HCcOJ</t>
  </si>
  <si>
    <t>acute and chronic cocaine abuse</t>
  </si>
  <si>
    <t>HccPT</t>
  </si>
  <si>
    <t>HCcPY</t>
  </si>
  <si>
    <t>chronic obstructive pulmonary disease</t>
  </si>
  <si>
    <t>HccRR</t>
  </si>
  <si>
    <t>HCcRT</t>
  </si>
  <si>
    <t>hypertensive and atherosclerotic cardiovascular disease</t>
  </si>
  <si>
    <t>HccSW</t>
  </si>
  <si>
    <t>HccTD</t>
  </si>
  <si>
    <t>HCtAY</t>
  </si>
  <si>
    <t>acute myocardial infarction</t>
  </si>
  <si>
    <t>HctCL</t>
  </si>
  <si>
    <t>HctGN</t>
  </si>
  <si>
    <t>ischemic heart disease</t>
  </si>
  <si>
    <t>HCtHF</t>
  </si>
  <si>
    <t>arteriosclerotic and hypertensive cardiovascular disease</t>
  </si>
  <si>
    <t>HctJS</t>
  </si>
  <si>
    <t>nontraumatic subdural ematoma</t>
  </si>
  <si>
    <t>HctKG</t>
  </si>
  <si>
    <t>atherosclerotic heart disease</t>
  </si>
  <si>
    <t>Unknown, relapse after 10 years, recovery 10 years</t>
  </si>
  <si>
    <t>HCtKY</t>
  </si>
  <si>
    <t>coronary atherosclerosis and atherosclerotic heart disease</t>
  </si>
  <si>
    <t>HCtLB</t>
  </si>
  <si>
    <t>upper gastrointestinal hemorrhage</t>
  </si>
  <si>
    <t>HCtLI</t>
  </si>
  <si>
    <t>hypertensive cardiac hypertrophy</t>
  </si>
  <si>
    <t>HctND</t>
  </si>
  <si>
    <t>pulmonary thromboembolism</t>
  </si>
  <si>
    <t>HCtOD</t>
  </si>
  <si>
    <t>coronary artery disease</t>
  </si>
  <si>
    <t xml:space="preserve">HCtOX </t>
  </si>
  <si>
    <t>gunshot wound of abdomen/chest</t>
  </si>
  <si>
    <t>HctPF</t>
  </si>
  <si>
    <t>HctQX</t>
  </si>
  <si>
    <t>HctRM</t>
  </si>
  <si>
    <t>undetermined</t>
  </si>
  <si>
    <t>HCtRt</t>
  </si>
  <si>
    <t>cardiomegaly, hypertensive type</t>
  </si>
  <si>
    <t>HCtSK</t>
  </si>
  <si>
    <t>undetermined natural causes</t>
  </si>
  <si>
    <t>HCtUM</t>
  </si>
  <si>
    <t>HCtV</t>
  </si>
  <si>
    <t>HctVB</t>
  </si>
  <si>
    <t>HCtVH</t>
  </si>
  <si>
    <t>HctWL</t>
  </si>
  <si>
    <t>HctWM</t>
  </si>
  <si>
    <t>HUS</t>
  </si>
  <si>
    <t>HXR</t>
  </si>
  <si>
    <t>exsanguination</t>
  </si>
  <si>
    <t>ND027</t>
  </si>
  <si>
    <t>Accident</t>
  </si>
  <si>
    <t>Aortic rupture</t>
  </si>
  <si>
    <t>north</t>
  </si>
  <si>
    <t>ND084</t>
  </si>
  <si>
    <t>Suicide</t>
  </si>
  <si>
    <t>Hanging</t>
  </si>
  <si>
    <t>register</t>
  </si>
  <si>
    <t>ND091</t>
  </si>
  <si>
    <t>CVD</t>
  </si>
  <si>
    <t>cancer- no chemo recorded</t>
  </si>
  <si>
    <t>ND102</t>
  </si>
  <si>
    <t>MC-accident</t>
  </si>
  <si>
    <t>ND111</t>
  </si>
  <si>
    <t>chart</t>
  </si>
  <si>
    <t>Abstinence, epilepsy, ICH</t>
  </si>
  <si>
    <t>ND114</t>
  </si>
  <si>
    <t>polio</t>
  </si>
  <si>
    <t>ND136</t>
  </si>
  <si>
    <t>Myocarditis</t>
  </si>
  <si>
    <t>MDE</t>
  </si>
  <si>
    <t xml:space="preserve">multiple minor stroke </t>
  </si>
  <si>
    <t>ND139</t>
  </si>
  <si>
    <t>ND151</t>
  </si>
  <si>
    <t>Alcohol intox</t>
  </si>
  <si>
    <t>ND154</t>
  </si>
  <si>
    <t>ND166</t>
  </si>
  <si>
    <t>ND168</t>
  </si>
  <si>
    <t>Pneumonia</t>
  </si>
  <si>
    <t>ND169</t>
  </si>
  <si>
    <t>cannabis use now and then</t>
  </si>
  <si>
    <t>ND173</t>
  </si>
  <si>
    <t>depressed according to intervue ssince 2008</t>
  </si>
  <si>
    <t>ND174</t>
  </si>
  <si>
    <t>Unditerminded</t>
  </si>
  <si>
    <t>Drowning</t>
  </si>
  <si>
    <t>Register based</t>
  </si>
  <si>
    <t>breastcancer- tamoxifen no otheer chemo recorded</t>
  </si>
  <si>
    <t>ND175</t>
  </si>
  <si>
    <t>ND176</t>
  </si>
  <si>
    <t>chart/interview</t>
  </si>
  <si>
    <t>Uncertain</t>
  </si>
  <si>
    <t>ND190</t>
  </si>
  <si>
    <t>Cardiomyopati</t>
  </si>
  <si>
    <t>interview</t>
  </si>
  <si>
    <t>ND196</t>
  </si>
  <si>
    <t>other drugs</t>
  </si>
  <si>
    <t>ND198</t>
  </si>
  <si>
    <t>ND203</t>
  </si>
  <si>
    <t>IHD</t>
  </si>
  <si>
    <t>ND207</t>
  </si>
  <si>
    <t>59.7</t>
  </si>
  <si>
    <t>Hasch</t>
  </si>
  <si>
    <t>7.5</t>
  </si>
  <si>
    <t>ND213</t>
  </si>
  <si>
    <t>ND219</t>
  </si>
  <si>
    <t>total ammount antidepp 0.5 years 2 prescriptions separate dates  prostate cancer no record oof chemo</t>
  </si>
  <si>
    <t>ND224</t>
  </si>
  <si>
    <t>2.9</t>
  </si>
  <si>
    <t>ND229</t>
  </si>
  <si>
    <t>natur</t>
  </si>
  <si>
    <t>prostate cancer, no chemo</t>
  </si>
  <si>
    <t>ND241</t>
  </si>
  <si>
    <t>Brainoedema</t>
  </si>
  <si>
    <t>ND243</t>
  </si>
  <si>
    <t>Intoxication</t>
  </si>
  <si>
    <t>subsance use distorder, mirtazapin agaiin 2012</t>
  </si>
  <si>
    <t>ND246</t>
  </si>
  <si>
    <t>Cardiomyopathy</t>
  </si>
  <si>
    <t>ND267</t>
  </si>
  <si>
    <t>Intox cyanide</t>
  </si>
  <si>
    <t>interview/register</t>
  </si>
  <si>
    <t xml:space="preserve">ND278 </t>
  </si>
  <si>
    <t xml:space="preserve">61.0 </t>
  </si>
  <si>
    <t>IHC</t>
  </si>
  <si>
    <t>traumatic SAH</t>
  </si>
  <si>
    <t>ND278</t>
  </si>
  <si>
    <t>11.35</t>
  </si>
  <si>
    <t xml:space="preserve">ND279 </t>
  </si>
  <si>
    <t>100.54</t>
  </si>
  <si>
    <t>Mallory Weiss rupture</t>
  </si>
  <si>
    <t>9.61</t>
  </si>
  <si>
    <t xml:space="preserve">ND281 </t>
  </si>
  <si>
    <t>77.75</t>
  </si>
  <si>
    <t>Ethanol intox</t>
  </si>
  <si>
    <t>11.57</t>
  </si>
  <si>
    <t xml:space="preserve">ND282 </t>
  </si>
  <si>
    <t>106.7</t>
  </si>
  <si>
    <t>AMI</t>
  </si>
  <si>
    <t>prostate cancer</t>
  </si>
  <si>
    <t>13.3</t>
  </si>
  <si>
    <t xml:space="preserve">ND283 </t>
  </si>
  <si>
    <t>Diabetic coma</t>
  </si>
  <si>
    <t xml:space="preserve">ND284 </t>
  </si>
  <si>
    <t xml:space="preserve">ND285 </t>
  </si>
  <si>
    <t>ND293</t>
  </si>
  <si>
    <t>NIH1032</t>
  </si>
  <si>
    <t>NIH1899</t>
  </si>
  <si>
    <t>compression asphyxia</t>
  </si>
  <si>
    <t>NR17</t>
  </si>
  <si>
    <t>07-0148/NR105</t>
  </si>
  <si>
    <t>Heart failure, lymphoma</t>
  </si>
  <si>
    <t>substance</t>
  </si>
  <si>
    <t>substance_use</t>
  </si>
  <si>
    <t>07-0535/NR120</t>
  </si>
  <si>
    <t>07-0901/NR136</t>
  </si>
  <si>
    <t>ND020</t>
  </si>
  <si>
    <t>RDD</t>
  </si>
  <si>
    <t>ND022</t>
  </si>
  <si>
    <t>YES</t>
  </si>
  <si>
    <t>ND081</t>
  </si>
  <si>
    <t>Jumping</t>
  </si>
  <si>
    <t>antiepileeptic drugs</t>
  </si>
  <si>
    <t>ND090</t>
  </si>
  <si>
    <t>ND097</t>
  </si>
  <si>
    <t>unknown</t>
  </si>
  <si>
    <t>ND101</t>
  </si>
  <si>
    <t>ND117</t>
  </si>
  <si>
    <t>Train</t>
  </si>
  <si>
    <t>schizoaffectiv</t>
  </si>
  <si>
    <t>neuroleptic and mood stabalizing trreatment, no AD</t>
  </si>
  <si>
    <t>ND132</t>
  </si>
  <si>
    <t>ND141</t>
  </si>
  <si>
    <t>ND156</t>
  </si>
  <si>
    <t>ND157</t>
  </si>
  <si>
    <t>Suffocation</t>
  </si>
  <si>
    <t>(quetiapin dureing rest of life)</t>
  </si>
  <si>
    <t>ND158</t>
  </si>
  <si>
    <t>Personality disorder, PTSD</t>
  </si>
  <si>
    <t>ND160</t>
  </si>
  <si>
    <t>schizophrenia</t>
  </si>
  <si>
    <t>depression according to intrvjue</t>
  </si>
  <si>
    <t>ND161</t>
  </si>
  <si>
    <t>ND165</t>
  </si>
  <si>
    <t>54.6</t>
  </si>
  <si>
    <t>Unknown</t>
  </si>
  <si>
    <t>sstämmerr inte riktigt med tiden</t>
  </si>
  <si>
    <t>12.7</t>
  </si>
  <si>
    <t>ND170</t>
  </si>
  <si>
    <t>ND171</t>
  </si>
  <si>
    <t>39.5</t>
  </si>
  <si>
    <t>ETOH/substance_use</t>
  </si>
  <si>
    <t>Register based/chart</t>
  </si>
  <si>
    <t>neuroleptic treatment and BZD. Mayby epileptic sseizure. Narcotics.</t>
  </si>
  <si>
    <t>11.2</t>
  </si>
  <si>
    <t>ND178</t>
  </si>
  <si>
    <t xml:space="preserve">Boarderline. Eating disorder. </t>
  </si>
  <si>
    <t>ND181</t>
  </si>
  <si>
    <t>ND182</t>
  </si>
  <si>
    <t>neontal distress</t>
  </si>
  <si>
    <t>ND184</t>
  </si>
  <si>
    <t>ND185</t>
  </si>
  <si>
    <t>ND189</t>
  </si>
  <si>
    <t>Suffrication</t>
  </si>
  <si>
    <t>14.2</t>
  </si>
  <si>
    <t>ND191</t>
  </si>
  <si>
    <t>5.5</t>
  </si>
  <si>
    <t>ND192</t>
  </si>
  <si>
    <t>ND194</t>
  </si>
  <si>
    <t>NA</t>
  </si>
  <si>
    <t>Pneuma emboly Yes</t>
  </si>
  <si>
    <t>litium/antipsychotic drugs</t>
  </si>
  <si>
    <t>ND197</t>
  </si>
  <si>
    <t>68.4</t>
  </si>
  <si>
    <t>neuroleptic drug one year</t>
  </si>
  <si>
    <t>12.9</t>
  </si>
  <si>
    <t>ND199</t>
  </si>
  <si>
    <t>ND210</t>
  </si>
  <si>
    <t>ND215</t>
  </si>
  <si>
    <t>Register based/interview</t>
  </si>
  <si>
    <t>ND220</t>
  </si>
  <si>
    <t>neuroleptic drugs 2 years and BDZ</t>
  </si>
  <si>
    <t>ND221</t>
  </si>
  <si>
    <t>ND222</t>
  </si>
  <si>
    <t>ND226</t>
  </si>
  <si>
    <t>81.2</t>
  </si>
  <si>
    <t>Neuroleptic drugs</t>
  </si>
  <si>
    <t>10.6</t>
  </si>
  <si>
    <t>ND227</t>
  </si>
  <si>
    <t>ND230</t>
  </si>
  <si>
    <t xml:space="preserve">ND272 </t>
  </si>
  <si>
    <t xml:space="preserve">84.4 </t>
  </si>
  <si>
    <t>ADD, ritalin</t>
  </si>
  <si>
    <t xml:space="preserve">22.0 </t>
  </si>
  <si>
    <t>ND275</t>
  </si>
  <si>
    <t>ND292</t>
  </si>
  <si>
    <t>Non smoker</t>
  </si>
  <si>
    <t>ND093</t>
  </si>
  <si>
    <t>Subarchnoidal bleeding</t>
  </si>
  <si>
    <t>Nr. 1</t>
  </si>
  <si>
    <t>Nr. 10</t>
  </si>
  <si>
    <t>Nr. 2</t>
  </si>
  <si>
    <t>Nr. 3</t>
  </si>
  <si>
    <t>Nr. 4</t>
  </si>
  <si>
    <t>Nr. 5</t>
  </si>
  <si>
    <t>Nr. 6</t>
  </si>
  <si>
    <t>Nr. 7</t>
  </si>
  <si>
    <t>Nr. 8</t>
  </si>
  <si>
    <t>Nr. 9</t>
  </si>
  <si>
    <t>NR038/A05-1314</t>
  </si>
  <si>
    <t>Wounds</t>
  </si>
  <si>
    <t>NR039/A05-1349</t>
  </si>
  <si>
    <t>NR043/A05-1463</t>
  </si>
  <si>
    <t>NR14B/A04-1029</t>
  </si>
  <si>
    <t>NR15</t>
  </si>
  <si>
    <t>ND123</t>
  </si>
  <si>
    <t>Bipolar diseae</t>
  </si>
  <si>
    <t>Litium treatment</t>
  </si>
  <si>
    <t>ND295</t>
  </si>
  <si>
    <t>Interview/chart</t>
  </si>
  <si>
    <t>SSRI</t>
  </si>
  <si>
    <t>SNRI</t>
  </si>
  <si>
    <t>TCA</t>
  </si>
  <si>
    <t>information_source_diagnosis</t>
  </si>
  <si>
    <t>register/interview</t>
  </si>
  <si>
    <t>SAH and neurosurgery</t>
  </si>
  <si>
    <t>Heroin use. Epilepsy.</t>
  </si>
  <si>
    <t>prostate cancer, no chemo inrecords, seizures, amphetamine</t>
  </si>
  <si>
    <t>testicle cancer, no chemo</t>
  </si>
  <si>
    <t>Bipolar diseae, SAH, ampphetamine, heroin</t>
  </si>
  <si>
    <t xml:space="preserve">Fragmented antidepp, sumarized. Methadone program. Opiate use. </t>
  </si>
  <si>
    <t>Asperger</t>
  </si>
  <si>
    <t>Neuroleptic treatment olanzapin 4 years, GAD</t>
  </si>
  <si>
    <t>Ritalin/concerta, ADHD</t>
  </si>
  <si>
    <t>schizophrenia/MDE</t>
  </si>
  <si>
    <t>chart/register</t>
  </si>
  <si>
    <t>chart/register/interview</t>
  </si>
  <si>
    <t>Chart/register</t>
  </si>
  <si>
    <t>prostatacancer, magcancer no rechord of chemo</t>
  </si>
  <si>
    <t>Chemo, breastcancer</t>
  </si>
  <si>
    <t>other</t>
  </si>
  <si>
    <t>register/chart</t>
  </si>
  <si>
    <t>mirtazapin</t>
  </si>
  <si>
    <t>SSRI_in</t>
  </si>
  <si>
    <t>SSRI_out</t>
  </si>
  <si>
    <t>SNRI_in</t>
  </si>
  <si>
    <t>SNRI_out</t>
  </si>
  <si>
    <t>Buproprion(2006-06-02 + 2008-05-21)</t>
  </si>
  <si>
    <t>mirtazapin_in</t>
  </si>
  <si>
    <t>mirtazapin_out</t>
  </si>
  <si>
    <t>TCA_in</t>
  </si>
  <si>
    <t>TCA_out</t>
  </si>
  <si>
    <t>lithium</t>
  </si>
  <si>
    <t>multiple ECT-treatment, GAD, neuroleptic drrugs, BNZ treatment, MAO hämmare i slutet</t>
  </si>
  <si>
    <t>antipsychotic</t>
  </si>
  <si>
    <t>2006,5/2010,4</t>
  </si>
  <si>
    <t>2006,5/2010,8</t>
  </si>
  <si>
    <t>2007,8/2010,7</t>
  </si>
  <si>
    <t>2008,5/2010,8</t>
  </si>
  <si>
    <t>2008,6/2010,8</t>
  </si>
  <si>
    <t>antidepp_over_5_years</t>
  </si>
  <si>
    <t>Register</t>
  </si>
  <si>
    <t>lithium_in</t>
  </si>
  <si>
    <t>lithium_out</t>
  </si>
  <si>
    <t>antipsychotic_in</t>
  </si>
  <si>
    <t>antipsychotic_out</t>
  </si>
  <si>
    <t>Ritalin, ADHD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</si>
</sst>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#,##0.0"/>
  </numFmts>
  <fonts count="1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B0F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i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F300"/>
        <bgColor indexed="64"/>
      </patternFill>
    </fill>
    <fill>
      <patternFill patternType="solid">
        <fgColor rgb="FF00F3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300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0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164" fontId="0" fillId="5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2" fontId="1" fillId="2" borderId="0" xfId="1" applyNumberFormat="1" applyBorder="1" applyAlignment="1">
      <alignment horizontal="center"/>
    </xf>
    <xf numFmtId="165" fontId="1" fillId="2" borderId="0" xfId="1" applyNumberFormat="1" applyBorder="1" applyAlignment="1">
      <alignment horizontal="center"/>
    </xf>
    <xf numFmtId="0" fontId="0" fillId="4" borderId="0" xfId="0" applyFill="1" applyAlignment="1">
      <alignment horizontal="center" vertic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5" fontId="0" fillId="6" borderId="0" xfId="0" applyNumberFormat="1" applyFill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7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1" fillId="0" borderId="0" xfId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165" fontId="0" fillId="6" borderId="1" xfId="0" applyNumberFormat="1" applyFill="1" applyBorder="1" applyAlignment="1">
      <alignment horizontal="center"/>
    </xf>
    <xf numFmtId="0" fontId="0" fillId="8" borderId="0" xfId="0" applyFill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165" fontId="4" fillId="7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65" fontId="4" fillId="9" borderId="0" xfId="0" applyNumberFormat="1" applyFont="1" applyFill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5" fontId="0" fillId="6" borderId="3" xfId="0" applyNumberFormat="1" applyFill="1" applyBorder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3" borderId="5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5" xfId="0" applyBorder="1" applyAlignment="1">
      <alignment horizontal="center"/>
    </xf>
    <xf numFmtId="49" fontId="4" fillId="3" borderId="5" xfId="0" applyNumberFormat="1" applyFont="1" applyFill="1" applyBorder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1" fillId="0" borderId="0" xfId="1" applyFill="1" applyAlignment="1">
      <alignment horizontal="center"/>
    </xf>
    <xf numFmtId="0" fontId="0" fillId="3" borderId="10" xfId="0" applyFill="1" applyBorder="1" applyAlignment="1">
      <alignment horizontal="center"/>
    </xf>
    <xf numFmtId="49" fontId="4" fillId="0" borderId="0" xfId="0" applyNumberFormat="1" applyFont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5" fontId="1" fillId="8" borderId="0" xfId="1" applyNumberForma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4" fillId="10" borderId="0" xfId="0" applyFont="1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4" fillId="12" borderId="0" xfId="0" applyFon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/>
    </xf>
    <xf numFmtId="0" fontId="4" fillId="13" borderId="0" xfId="0" applyFont="1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4" fillId="14" borderId="0" xfId="0" applyFont="1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3" fillId="15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/>
    </xf>
    <xf numFmtId="49" fontId="0" fillId="16" borderId="0" xfId="0" applyNumberFormat="1" applyFill="1" applyAlignment="1">
      <alignment horizontal="center"/>
    </xf>
    <xf numFmtId="164" fontId="4" fillId="16" borderId="0" xfId="0" applyNumberFormat="1" applyFont="1" applyFill="1" applyAlignment="1">
      <alignment horizontal="center"/>
    </xf>
    <xf numFmtId="165" fontId="1" fillId="16" borderId="0" xfId="1" applyNumberFormat="1" applyFill="1" applyBorder="1" applyAlignment="1">
      <alignment horizontal="center"/>
    </xf>
    <xf numFmtId="2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3" fillId="16" borderId="0" xfId="0" applyFont="1" applyFill="1" applyAlignment="1">
      <alignment horizontal="center"/>
    </xf>
    <xf numFmtId="164" fontId="0" fillId="16" borderId="0" xfId="0" applyNumberFormat="1" applyFill="1" applyAlignment="1">
      <alignment horizontal="center" vertical="center"/>
    </xf>
    <xf numFmtId="0" fontId="3" fillId="17" borderId="0" xfId="0" applyFont="1" applyFill="1" applyAlignment="1">
      <alignment horizontal="center"/>
    </xf>
    <xf numFmtId="165" fontId="4" fillId="16" borderId="0" xfId="0" applyNumberFormat="1" applyFont="1" applyFill="1" applyAlignment="1">
      <alignment horizontal="center"/>
    </xf>
    <xf numFmtId="1" fontId="4" fillId="16" borderId="0" xfId="0" applyNumberFormat="1" applyFont="1" applyFill="1" applyAlignment="1">
      <alignment horizontal="center"/>
    </xf>
    <xf numFmtId="2" fontId="4" fillId="16" borderId="0" xfId="0" applyNumberFormat="1" applyFont="1" applyFill="1" applyAlignment="1">
      <alignment horizontal="center"/>
    </xf>
    <xf numFmtId="164" fontId="0" fillId="16" borderId="0" xfId="0" applyNumberForma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3" fillId="16" borderId="0" xfId="0" applyFont="1" applyFill="1" applyAlignment="1">
      <alignment horizontal="center" vertical="center"/>
    </xf>
    <xf numFmtId="0" fontId="0" fillId="16" borderId="2" xfId="0" applyFill="1" applyBorder="1" applyAlignment="1">
      <alignment horizontal="center"/>
    </xf>
    <xf numFmtId="0" fontId="2" fillId="16" borderId="0" xfId="0" applyFont="1" applyFill="1" applyAlignment="1">
      <alignment horizontal="center"/>
    </xf>
    <xf numFmtId="0" fontId="5" fillId="16" borderId="0" xfId="0" applyFont="1" applyFill="1" applyAlignment="1">
      <alignment horizontal="center" vertical="center"/>
    </xf>
    <xf numFmtId="0" fontId="0" fillId="18" borderId="0" xfId="0" applyFill="1" applyAlignment="1">
      <alignment horizontal="center"/>
    </xf>
    <xf numFmtId="49" fontId="0" fillId="18" borderId="0" xfId="0" applyNumberFormat="1" applyFill="1" applyAlignment="1">
      <alignment horizontal="center"/>
    </xf>
    <xf numFmtId="164" fontId="3" fillId="18" borderId="0" xfId="0" applyNumberFormat="1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2" fontId="4" fillId="18" borderId="0" xfId="0" applyNumberFormat="1" applyFont="1" applyFill="1" applyAlignment="1">
      <alignment horizontal="center"/>
    </xf>
    <xf numFmtId="164" fontId="4" fillId="18" borderId="0" xfId="0" applyNumberFormat="1" applyFont="1" applyFill="1" applyAlignment="1">
      <alignment horizontal="center"/>
    </xf>
    <xf numFmtId="164" fontId="0" fillId="18" borderId="0" xfId="0" applyNumberFormat="1" applyFill="1" applyAlignment="1">
      <alignment horizontal="center" vertical="center"/>
    </xf>
    <xf numFmtId="0" fontId="0" fillId="18" borderId="0" xfId="0" applyFill="1"/>
    <xf numFmtId="2" fontId="0" fillId="16" borderId="0" xfId="0" applyNumberFormat="1" applyFill="1" applyAlignment="1">
      <alignment horizontal="center" vertical="center"/>
    </xf>
    <xf numFmtId="164" fontId="4" fillId="17" borderId="0" xfId="0" applyNumberFormat="1" applyFont="1" applyFill="1" applyAlignment="1">
      <alignment horizontal="center"/>
    </xf>
    <xf numFmtId="165" fontId="4" fillId="16" borderId="0" xfId="0" applyNumberFormat="1" applyFont="1" applyFill="1" applyAlignment="1">
      <alignment horizontal="center" vertical="center"/>
    </xf>
    <xf numFmtId="164" fontId="4" fillId="16" borderId="0" xfId="0" applyNumberFormat="1" applyFont="1" applyFill="1" applyAlignment="1">
      <alignment horizontal="center" vertical="center"/>
    </xf>
    <xf numFmtId="1" fontId="4" fillId="16" borderId="0" xfId="0" applyNumberFormat="1" applyFont="1" applyFill="1" applyAlignment="1">
      <alignment horizontal="center" vertical="center"/>
    </xf>
    <xf numFmtId="165" fontId="4" fillId="16" borderId="0" xfId="0" applyNumberFormat="1" applyFont="1" applyFill="1" applyAlignment="1">
      <alignment horizontal="center" vertical="center" wrapText="1"/>
    </xf>
    <xf numFmtId="165" fontId="4" fillId="16" borderId="1" xfId="0" applyNumberFormat="1" applyFont="1" applyFill="1" applyBorder="1" applyAlignment="1">
      <alignment horizontal="center"/>
    </xf>
    <xf numFmtId="0" fontId="4" fillId="16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/>
    </xf>
    <xf numFmtId="167" fontId="0" fillId="16" borderId="0" xfId="0" applyNumberFormat="1" applyFill="1" applyAlignment="1">
      <alignment horizontal="center"/>
    </xf>
    <xf numFmtId="0" fontId="0" fillId="16" borderId="1" xfId="0" applyFill="1" applyBorder="1" applyAlignment="1">
      <alignment horizontal="center"/>
    </xf>
    <xf numFmtId="165" fontId="0" fillId="16" borderId="5" xfId="0" applyNumberFormat="1" applyFill="1" applyBorder="1" applyAlignment="1">
      <alignment horizontal="center"/>
    </xf>
    <xf numFmtId="49" fontId="0" fillId="16" borderId="6" xfId="0" applyNumberFormat="1" applyFill="1" applyBorder="1" applyAlignment="1">
      <alignment horizontal="center"/>
    </xf>
    <xf numFmtId="165" fontId="4" fillId="16" borderId="7" xfId="0" applyNumberFormat="1" applyFont="1" applyFill="1" applyBorder="1" applyAlignment="1">
      <alignment horizontal="center"/>
    </xf>
    <xf numFmtId="1" fontId="4" fillId="16" borderId="7" xfId="0" applyNumberFormat="1" applyFon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49" fontId="0" fillId="16" borderId="5" xfId="0" applyNumberFormat="1" applyFill="1" applyBorder="1" applyAlignment="1">
      <alignment horizontal="center"/>
    </xf>
    <xf numFmtId="0" fontId="1" fillId="16" borderId="0" xfId="1" applyFill="1" applyBorder="1" applyAlignment="1">
      <alignment horizontal="center"/>
    </xf>
    <xf numFmtId="49" fontId="1" fillId="16" borderId="0" xfId="1" applyNumberFormat="1" applyFill="1" applyBorder="1" applyAlignment="1">
      <alignment horizontal="center"/>
    </xf>
    <xf numFmtId="0" fontId="0" fillId="16" borderId="5" xfId="0" applyFill="1" applyBorder="1" applyAlignment="1">
      <alignment horizontal="center" vertical="center"/>
    </xf>
    <xf numFmtId="164" fontId="0" fillId="16" borderId="5" xfId="0" applyNumberForma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49" fontId="0" fillId="16" borderId="8" xfId="0" applyNumberFormat="1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1" fillId="16" borderId="5" xfId="1" applyFill="1" applyBorder="1" applyAlignment="1">
      <alignment horizontal="center"/>
    </xf>
    <xf numFmtId="49" fontId="1" fillId="16" borderId="5" xfId="1" applyNumberFormat="1" applyFill="1" applyBorder="1" applyAlignment="1">
      <alignment horizontal="center"/>
    </xf>
    <xf numFmtId="164" fontId="4" fillId="16" borderId="7" xfId="0" applyNumberFormat="1" applyFont="1" applyFill="1" applyBorder="1" applyAlignment="1">
      <alignment horizontal="center"/>
    </xf>
    <xf numFmtId="165" fontId="4" fillId="16" borderId="5" xfId="0" applyNumberFormat="1" applyFont="1" applyFill="1" applyBorder="1" applyAlignment="1">
      <alignment horizontal="center"/>
    </xf>
    <xf numFmtId="164" fontId="4" fillId="16" borderId="5" xfId="0" applyNumberFormat="1" applyFont="1" applyFill="1" applyBorder="1" applyAlignment="1">
      <alignment horizontal="center"/>
    </xf>
    <xf numFmtId="1" fontId="4" fillId="16" borderId="5" xfId="0" applyNumberFormat="1" applyFont="1" applyFill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0" fontId="0" fillId="16" borderId="9" xfId="0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/>
    </xf>
    <xf numFmtId="165" fontId="4" fillId="16" borderId="9" xfId="0" applyNumberFormat="1" applyFont="1" applyFill="1" applyBorder="1" applyAlignment="1">
      <alignment horizontal="center"/>
    </xf>
    <xf numFmtId="164" fontId="4" fillId="16" borderId="9" xfId="0" applyNumberFormat="1" applyFont="1" applyFill="1" applyBorder="1" applyAlignment="1">
      <alignment horizontal="center"/>
    </xf>
    <xf numFmtId="1" fontId="4" fillId="16" borderId="9" xfId="0" applyNumberFormat="1" applyFont="1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167" fontId="0" fillId="16" borderId="5" xfId="0" applyNumberFormat="1" applyFill="1" applyBorder="1" applyAlignment="1">
      <alignment horizontal="center"/>
    </xf>
    <xf numFmtId="49" fontId="1" fillId="16" borderId="8" xfId="1" applyNumberFormat="1" applyFill="1" applyBorder="1" applyAlignment="1">
      <alignment horizontal="center"/>
    </xf>
    <xf numFmtId="0" fontId="3" fillId="17" borderId="5" xfId="0" applyFont="1" applyFill="1" applyBorder="1" applyAlignment="1">
      <alignment horizontal="center"/>
    </xf>
    <xf numFmtId="165" fontId="4" fillId="16" borderId="11" xfId="0" applyNumberFormat="1" applyFont="1" applyFill="1" applyBorder="1" applyAlignment="1">
      <alignment horizontal="center"/>
    </xf>
    <xf numFmtId="165" fontId="4" fillId="16" borderId="12" xfId="0" applyNumberFormat="1" applyFont="1" applyFill="1" applyBorder="1" applyAlignment="1">
      <alignment horizontal="center"/>
    </xf>
    <xf numFmtId="164" fontId="4" fillId="16" borderId="13" xfId="0" applyNumberFormat="1" applyFont="1" applyFill="1" applyBorder="1" applyAlignment="1">
      <alignment horizontal="center"/>
    </xf>
    <xf numFmtId="0" fontId="1" fillId="19" borderId="0" xfId="1" applyFill="1" applyBorder="1" applyAlignment="1">
      <alignment horizontal="center"/>
    </xf>
    <xf numFmtId="2" fontId="0" fillId="16" borderId="5" xfId="0" applyNumberFormat="1" applyFill="1" applyBorder="1" applyAlignment="1">
      <alignment horizontal="center"/>
    </xf>
    <xf numFmtId="0" fontId="1" fillId="16" borderId="1" xfId="1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20" borderId="0" xfId="0" applyFill="1" applyAlignment="1">
      <alignment horizontal="center"/>
    </xf>
    <xf numFmtId="165" fontId="4" fillId="21" borderId="0" xfId="0" applyNumberFormat="1" applyFont="1" applyFill="1" applyAlignment="1">
      <alignment horizontal="center"/>
    </xf>
    <xf numFmtId="165" fontId="4" fillId="22" borderId="3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0" fillId="20" borderId="2" xfId="0" applyFill="1" applyBorder="1" applyAlignment="1">
      <alignment horizontal="center"/>
    </xf>
    <xf numFmtId="165" fontId="4" fillId="21" borderId="3" xfId="0" applyNumberFormat="1" applyFont="1" applyFill="1" applyBorder="1" applyAlignment="1">
      <alignment horizontal="center"/>
    </xf>
    <xf numFmtId="164" fontId="4" fillId="23" borderId="2" xfId="0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 vertical="center"/>
    </xf>
    <xf numFmtId="165" fontId="4" fillId="21" borderId="0" xfId="0" applyNumberFormat="1" applyFont="1" applyFill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/>
    </xf>
    <xf numFmtId="165" fontId="4" fillId="9" borderId="4" xfId="0" applyNumberFormat="1" applyFont="1" applyFill="1" applyBorder="1" applyAlignment="1">
      <alignment horizontal="center"/>
    </xf>
    <xf numFmtId="165" fontId="4" fillId="9" borderId="3" xfId="0" applyNumberFormat="1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5">
    <dxf>
      <fill>
        <patternFill>
          <fgColor theme="0" tint="-0.14996795556505021"/>
          <bgColor theme="0" tint="-4.9989318521683403E-2"/>
        </patternFill>
      </fill>
    </dxf>
    <dxf>
      <fill>
        <patternFill>
          <fgColor theme="0" tint="-0.14996795556505021"/>
          <bgColor theme="0" tint="-4.9989318521683403E-2"/>
        </patternFill>
      </fill>
    </dxf>
    <dxf>
      <fill>
        <patternFill>
          <fgColor theme="0" tint="-0.14996795556505021"/>
          <bgColor theme="0" tint="-4.9989318521683403E-2"/>
        </patternFill>
      </fill>
    </dxf>
    <dxf>
      <fill>
        <patternFill>
          <fgColor theme="0" tint="-0.14996795556505021"/>
          <bgColor theme="0" tint="-4.9989318521683403E-2"/>
        </patternFill>
      </fill>
    </dxf>
    <dxf>
      <fill>
        <patternFill>
          <fgColor theme="0" tint="-0.14996795556505021"/>
          <bgColor theme="0" tint="-4.9989318521683403E-2"/>
        </patternFill>
      </fill>
    </dxf>
  </dxfs>
  <tableStyles count="0" defaultTableStyle="TableStyleMedium2" defaultPivotStyle="PivotStyleLight16"/>
  <colors>
    <mruColors>
      <color rgb="FF00F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bla Steiner" id="{402B4A3C-4DCC-9C4B-9B97-132AF0F40667}" userId="6eebfa80bb4240b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91" dT="2024-10-09T08:27:27.38" personId="{402B4A3C-4DCC-9C4B-9B97-132AF0F40667}" id="{58629DB6-17CD-524E-87CC-222F6A8CF321}">
    <text>According to Michaels Depp at age 65. But sari in earlier. Go with register</text>
  </threadedComment>
  <threadedComment ref="AL94" dT="2024-10-09T08:30:50.53" personId="{402B4A3C-4DCC-9C4B-9B97-132AF0F40667}" id="{4C66817C-E52A-2A43-9801-A2582BA3303A}">
    <text xml:space="preserve">In mike’s file there are numbers but no yes on AD. I think this years is for the sample above in mike’s file- thus no AD in this patient. </text>
  </threadedComment>
  <threadedComment ref="BD98" dT="2024-10-09T08:32:31.06" personId="{402B4A3C-4DCC-9C4B-9B97-132AF0F40667}" id="{CFC87D70-5570-8A44-A065-5696267E742F}">
    <text>According to mikael 0.5 year NL?</text>
  </threadedComment>
  <threadedComment ref="BG132" dT="2024-10-08T11:47:52.50" personId="{402B4A3C-4DCC-9C4B-9B97-132AF0F40667}" id="{3E3048E2-76BB-8D48-9BE8-B0D5C352AF55}">
    <text>Sertraline 2011-06-10</text>
  </threadedComment>
  <threadedComment ref="AH153" dT="2024-12-02T15:33:16.98" personId="{402B4A3C-4DCC-9C4B-9B97-132AF0F40667}" id="{385933CC-BE7F-FD43-8842-DEF8600BB058}">
    <text>After discussion with Mikaela- we set 10 years tot it was wrong in his original file</text>
  </threadedComment>
  <threadedComment ref="AN153" dT="2024-10-09T07:48:45.60" personId="{402B4A3C-4DCC-9C4B-9B97-132AF0F40667}" id="{F441973C-73CB-CF46-B4A4-C96401636DB4}">
    <text>Citalopram in policereport</text>
  </threadedComment>
  <threadedComment ref="BI153" dT="2024-12-02T15:34:22.26" personId="{402B4A3C-4DCC-9C4B-9B97-132AF0F40667}" id="{F38CFB43-041C-C64C-9D56-BF15140B146D}">
    <text>After discussion with mikael we set 10 years, his original file was wrong</text>
  </threadedComment>
  <threadedComment ref="AH164" dT="2024-10-14T09:32:31.53" personId="{402B4A3C-4DCC-9C4B-9B97-132AF0F40667}" id="{DE4626B7-85E1-3B48-83D6-0AA8CAD93F9E}">
    <text xml:space="preserve">Mikes says 5, but first antidepwas 2005,8 total amount 4.4 go for this instead? </text>
  </threadedComment>
  <threadedComment ref="AO174" dT="2024-10-09T07:58:34.90" personId="{402B4A3C-4DCC-9C4B-9B97-132AF0F40667}" id="{18750545-A81F-7941-BCF1-3BE45E9254B8}">
    <text>Citalopram enl dokument</text>
  </threadedComment>
  <threadedComment ref="AH196" dT="2024-10-09T08:03:52.93" personId="{402B4A3C-4DCC-9C4B-9B97-132AF0F40667}" id="{7C6F6F99-D3F0-D242-A7E3-D9D63054706B}">
    <text xml:space="preserve">Enligt intervju depp sedan 3 år </text>
  </threadedComment>
  <threadedComment ref="Z205" dT="2024-10-14T11:41:31.01" personId="{402B4A3C-4DCC-9C4B-9B97-132AF0F40667}" id="{7D68FCB0-8B0D-C745-BBB1-6B79DA9D1FC0}">
    <text xml:space="preserve">MDE enligt ML. Dock diagnos depp 1996. Suicidal i slutet. RDD? </text>
  </threadedComment>
  <threadedComment ref="AU209" dT="2024-10-14T11:46:59.17" personId="{402B4A3C-4DCC-9C4B-9B97-132AF0F40667}" id="{1351C83D-4734-2142-AE3E-81F4E10FDD41}">
    <text xml:space="preserve">According to ML AD 9 years. Unclear what first. </text>
  </threadedComment>
  <threadedComment ref="AR239" dT="2024-10-09T08:10:43.51" personId="{402B4A3C-4DCC-9C4B-9B97-132AF0F40667}" id="{4FC6A94F-5DE3-F84E-BB0C-ED442FBC5087}">
    <text xml:space="preserve">In blood at time of death. Depressed 2 weeks, had some antidepressants </text>
  </threadedComment>
  <threadedComment ref="BG240" dT="2024-10-14T12:05:02.04" personId="{402B4A3C-4DCC-9C4B-9B97-132AF0F40667}" id="{CDB48836-95AB-694E-A888-A3D79ABE5E81}">
    <text>Not completely sure. According to ML sometime in the 50s of the patient. Tried for suicide 10 years before death so maybe around that time?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C937-4187-5E40-BFA0-CE19C0964A9D}">
  <dimension ref="A1:BL272"/>
  <sheetViews>
    <sheetView tabSelected="1" topLeftCell="A153" zoomScale="118" zoomScaleNormal="170" workbookViewId="0">
      <selection activeCell="A3" sqref="A3"/>
    </sheetView>
  </sheetViews>
  <sheetFormatPr baseColWidth="10" defaultRowHeight="16" x14ac:dyDescent="0.2"/>
  <cols>
    <col min="1" max="3" width="10.83203125" style="1"/>
    <col min="4" max="4" width="15.1640625" style="1" customWidth="1"/>
    <col min="5" max="14" width="10.83203125" style="1"/>
    <col min="15" max="15" width="14.6640625" style="46" customWidth="1"/>
    <col min="16" max="16" width="14.6640625" style="16" customWidth="1"/>
    <col min="17" max="20" width="10.83203125" style="1"/>
    <col min="21" max="21" width="15.83203125" style="1" customWidth="1"/>
    <col min="22" max="23" width="10.83203125" style="1"/>
    <col min="24" max="24" width="17.83203125" style="1" customWidth="1"/>
    <col min="25" max="25" width="17" style="1" customWidth="1"/>
    <col min="26" max="27" width="16.33203125" style="1" customWidth="1"/>
    <col min="28" max="28" width="15.1640625" style="1" customWidth="1"/>
    <col min="29" max="29" width="10.83203125" style="1"/>
    <col min="30" max="30" width="19.83203125" style="1" customWidth="1"/>
    <col min="31" max="31" width="15" style="1" customWidth="1"/>
    <col min="32" max="37" width="10.83203125" style="1"/>
    <col min="38" max="38" width="15" style="1" customWidth="1"/>
    <col min="39" max="39" width="34.83203125" style="1" customWidth="1"/>
    <col min="40" max="40" width="10.83203125" style="1"/>
    <col min="41" max="42" width="10.83203125" style="67"/>
    <col min="43" max="43" width="10.83203125" style="1"/>
    <col min="44" max="45" width="10.83203125" style="70"/>
    <col min="46" max="46" width="9.6640625" style="1" customWidth="1"/>
    <col min="47" max="48" width="9.6640625" style="76" customWidth="1"/>
    <col min="49" max="49" width="18.1640625" style="1" customWidth="1"/>
    <col min="50" max="51" width="18.1640625" style="73" customWidth="1"/>
    <col min="52" max="52" width="18.1640625" style="1" customWidth="1"/>
    <col min="53" max="54" width="18.1640625" style="79" customWidth="1"/>
    <col min="55" max="55" width="18.1640625" style="1" customWidth="1"/>
    <col min="56" max="56" width="18.1640625" style="82" customWidth="1"/>
    <col min="57" max="57" width="21.1640625" style="82" customWidth="1"/>
    <col min="58" max="58" width="31.33203125" style="1" customWidth="1"/>
    <col min="59" max="59" width="10.83203125" style="1"/>
    <col min="60" max="60" width="16.1640625" style="1" customWidth="1"/>
    <col min="61" max="63" width="10.83203125" style="1"/>
  </cols>
  <sheetData>
    <row r="1" spans="1:63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</row>
    <row r="2" spans="1:63" x14ac:dyDescent="0.2">
      <c r="A2" s="1" t="s">
        <v>0</v>
      </c>
      <c r="B2" s="1" t="s">
        <v>1</v>
      </c>
      <c r="C2" s="1" t="s">
        <v>1</v>
      </c>
      <c r="D2" s="1" t="s">
        <v>1</v>
      </c>
      <c r="E2" s="1" t="s">
        <v>0</v>
      </c>
      <c r="F2" s="1" t="s">
        <v>0</v>
      </c>
      <c r="G2" s="1" t="s">
        <v>0</v>
      </c>
      <c r="H2" s="3" t="s">
        <v>1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3" t="s">
        <v>0</v>
      </c>
      <c r="R2" s="4" t="s">
        <v>0</v>
      </c>
      <c r="S2" s="3" t="s">
        <v>0</v>
      </c>
      <c r="T2" s="3" t="s">
        <v>0</v>
      </c>
      <c r="U2" s="3" t="s">
        <v>0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1" t="s">
        <v>1</v>
      </c>
      <c r="AC2" s="3" t="s">
        <v>1</v>
      </c>
      <c r="AD2" s="3" t="s">
        <v>1</v>
      </c>
      <c r="AE2" s="3" t="s">
        <v>1</v>
      </c>
      <c r="AF2" s="3" t="s">
        <v>0</v>
      </c>
      <c r="AG2" s="3" t="s">
        <v>0</v>
      </c>
      <c r="AH2" s="3" t="s">
        <v>0</v>
      </c>
      <c r="AI2" s="3" t="s">
        <v>1</v>
      </c>
      <c r="AJ2" s="3" t="s">
        <v>0</v>
      </c>
      <c r="AK2" s="3" t="s">
        <v>0</v>
      </c>
      <c r="AL2" s="3" t="s">
        <v>1</v>
      </c>
      <c r="AM2" s="3" t="s">
        <v>1</v>
      </c>
      <c r="AN2" s="3" t="s">
        <v>1</v>
      </c>
      <c r="AO2" s="3" t="s">
        <v>0</v>
      </c>
      <c r="AP2" s="3" t="s">
        <v>0</v>
      </c>
      <c r="AQ2" s="3" t="s">
        <v>1</v>
      </c>
      <c r="AR2" s="3" t="s">
        <v>0</v>
      </c>
      <c r="AS2" s="3" t="s">
        <v>0</v>
      </c>
      <c r="AT2" s="3" t="s">
        <v>1</v>
      </c>
      <c r="AU2" s="3" t="s">
        <v>0</v>
      </c>
      <c r="AV2" s="3" t="s">
        <v>0</v>
      </c>
      <c r="AW2" s="3" t="s">
        <v>1</v>
      </c>
      <c r="AX2" s="3" t="s">
        <v>0</v>
      </c>
      <c r="AY2" s="3" t="s">
        <v>0</v>
      </c>
      <c r="AZ2" s="3" t="s">
        <v>1</v>
      </c>
      <c r="BA2" s="3" t="s">
        <v>0</v>
      </c>
      <c r="BB2" s="3" t="s">
        <v>0</v>
      </c>
      <c r="BC2" s="3" t="s">
        <v>1</v>
      </c>
      <c r="BD2" s="83" t="s">
        <v>0</v>
      </c>
      <c r="BE2" s="83" t="s">
        <v>0</v>
      </c>
      <c r="BF2" s="3" t="s">
        <v>1</v>
      </c>
      <c r="BG2" s="3" t="s">
        <v>0</v>
      </c>
      <c r="BH2" s="3" t="s">
        <v>0</v>
      </c>
      <c r="BI2" s="3" t="s">
        <v>0</v>
      </c>
      <c r="BJ2" s="1" t="s">
        <v>1</v>
      </c>
      <c r="BK2" s="1" t="s">
        <v>1</v>
      </c>
    </row>
    <row r="3" spans="1:63" x14ac:dyDescent="0.2">
      <c r="A3" s="1" t="s">
        <v>2</v>
      </c>
      <c r="B3" s="1" t="s">
        <v>3</v>
      </c>
      <c r="C3" s="1" t="s">
        <v>4</v>
      </c>
      <c r="D3" s="5" t="s">
        <v>5</v>
      </c>
      <c r="E3" s="5" t="s">
        <v>6</v>
      </c>
      <c r="F3" s="1" t="s">
        <v>7</v>
      </c>
      <c r="G3" s="1" t="s">
        <v>8</v>
      </c>
      <c r="H3" s="1" t="s">
        <v>9</v>
      </c>
      <c r="I3" s="6" t="s">
        <v>10</v>
      </c>
      <c r="J3" s="6" t="s">
        <v>11</v>
      </c>
      <c r="K3" s="6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6" t="s">
        <v>18</v>
      </c>
      <c r="R3" s="8" t="s">
        <v>19</v>
      </c>
      <c r="S3" s="1" t="s">
        <v>20</v>
      </c>
      <c r="T3" s="1" t="s">
        <v>21</v>
      </c>
      <c r="U3" s="1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5</v>
      </c>
      <c r="AC3" s="1" t="s">
        <v>359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396</v>
      </c>
      <c r="AN3" s="1" t="s">
        <v>356</v>
      </c>
      <c r="AO3" s="67" t="s">
        <v>379</v>
      </c>
      <c r="AP3" s="67" t="s">
        <v>380</v>
      </c>
      <c r="AQ3" s="1" t="s">
        <v>357</v>
      </c>
      <c r="AR3" s="70" t="s">
        <v>381</v>
      </c>
      <c r="AS3" s="70" t="s">
        <v>382</v>
      </c>
      <c r="AT3" s="1" t="s">
        <v>358</v>
      </c>
      <c r="AU3" s="76" t="s">
        <v>386</v>
      </c>
      <c r="AV3" s="76" t="s">
        <v>387</v>
      </c>
      <c r="AW3" s="1" t="s">
        <v>378</v>
      </c>
      <c r="AX3" s="73" t="s">
        <v>384</v>
      </c>
      <c r="AY3" s="73" t="s">
        <v>385</v>
      </c>
      <c r="AZ3" s="1" t="s">
        <v>388</v>
      </c>
      <c r="BA3" s="1" t="s">
        <v>398</v>
      </c>
      <c r="BB3" s="1" t="s">
        <v>399</v>
      </c>
      <c r="BC3" s="1" t="s">
        <v>390</v>
      </c>
      <c r="BD3" s="82" t="s">
        <v>400</v>
      </c>
      <c r="BE3" s="82" t="s">
        <v>401</v>
      </c>
      <c r="BF3" s="1" t="s">
        <v>38</v>
      </c>
      <c r="BG3" s="1" t="s">
        <v>39</v>
      </c>
      <c r="BH3" s="1" t="s">
        <v>40</v>
      </c>
      <c r="BI3" s="1" t="s">
        <v>41</v>
      </c>
      <c r="BJ3" s="1" t="s">
        <v>42</v>
      </c>
      <c r="BK3" s="1" t="s">
        <v>43</v>
      </c>
    </row>
    <row r="4" spans="1:63" x14ac:dyDescent="0.2">
      <c r="A4" s="1">
        <v>1</v>
      </c>
      <c r="B4" s="1" t="s">
        <v>44</v>
      </c>
      <c r="C4" s="1" t="s">
        <v>45</v>
      </c>
      <c r="D4" s="5" t="s">
        <v>46</v>
      </c>
      <c r="E4" s="9">
        <v>32.6</v>
      </c>
      <c r="F4" s="10">
        <v>1950.1</v>
      </c>
      <c r="G4" s="10">
        <v>2000.8</v>
      </c>
      <c r="H4" s="9" t="s">
        <v>47</v>
      </c>
      <c r="I4" s="1">
        <v>1.94</v>
      </c>
      <c r="J4" s="1">
        <v>2.36</v>
      </c>
      <c r="K4" s="1">
        <v>1.008282236058192</v>
      </c>
      <c r="L4" s="1">
        <v>1.7000000000000001E-2</v>
      </c>
      <c r="M4" s="11">
        <v>0.77641296098462931</v>
      </c>
      <c r="N4" s="1">
        <v>17</v>
      </c>
      <c r="O4" s="11">
        <v>0.77641296098462931</v>
      </c>
      <c r="P4" s="66">
        <f>(K4-1.112747067*(1-R4/100))*100/R4</f>
        <v>1.0051622771526181</v>
      </c>
      <c r="Q4" s="6">
        <v>13.1</v>
      </c>
      <c r="R4" s="8">
        <v>97.1</v>
      </c>
      <c r="S4" s="1">
        <v>15</v>
      </c>
      <c r="T4" s="1">
        <v>14.167794316644112</v>
      </c>
      <c r="U4" s="1">
        <f t="shared" ref="U4:U67" si="0">S4-T4</f>
        <v>0.83220568335588752</v>
      </c>
      <c r="V4" s="1" t="s">
        <v>48</v>
      </c>
      <c r="W4" s="1" t="s">
        <v>49</v>
      </c>
      <c r="X4" s="12" t="s">
        <v>50</v>
      </c>
      <c r="Y4" s="13" t="s">
        <v>51</v>
      </c>
      <c r="Z4" s="12"/>
      <c r="AA4" s="1" t="s">
        <v>51</v>
      </c>
      <c r="AB4" s="5" t="s">
        <v>46</v>
      </c>
      <c r="AC4" s="14" t="s">
        <v>52</v>
      </c>
      <c r="AD4" s="14">
        <v>20</v>
      </c>
      <c r="AE4" s="14" t="s">
        <v>52</v>
      </c>
      <c r="AF4" s="15">
        <f>G4-AD4</f>
        <v>1980.8</v>
      </c>
      <c r="AG4" s="15">
        <f>G4</f>
        <v>2000.8</v>
      </c>
      <c r="AH4" s="6"/>
      <c r="AI4" s="6"/>
      <c r="AJ4" s="6"/>
      <c r="AK4" s="6"/>
      <c r="AL4" s="6"/>
      <c r="AM4" s="6"/>
      <c r="AN4" s="6"/>
      <c r="AO4" s="68"/>
      <c r="AP4" s="68"/>
      <c r="AQ4" s="6"/>
      <c r="AR4" s="71"/>
      <c r="AS4" s="71"/>
      <c r="AT4" s="6"/>
      <c r="AU4" s="77"/>
      <c r="AV4" s="77"/>
      <c r="AW4" s="6"/>
      <c r="AX4" s="74"/>
      <c r="AY4" s="74"/>
      <c r="AZ4" s="6"/>
      <c r="BA4" s="80"/>
      <c r="BB4" s="80"/>
      <c r="BC4" s="6"/>
      <c r="BD4" s="84"/>
      <c r="BE4" s="84"/>
      <c r="BF4" s="6"/>
      <c r="BG4" s="6"/>
      <c r="BH4" s="6"/>
      <c r="BI4" s="6"/>
      <c r="BJ4" s="6"/>
      <c r="BK4" s="6" t="s">
        <v>53</v>
      </c>
    </row>
    <row r="5" spans="1:63" x14ac:dyDescent="0.2">
      <c r="A5" s="1">
        <v>2</v>
      </c>
      <c r="B5" s="5" t="s">
        <v>44</v>
      </c>
      <c r="C5" s="1" t="s">
        <v>54</v>
      </c>
      <c r="D5" s="5" t="s">
        <v>55</v>
      </c>
      <c r="E5" s="9">
        <v>22.5</v>
      </c>
      <c r="F5" s="10">
        <v>1947</v>
      </c>
      <c r="G5" s="10">
        <v>1990.8</v>
      </c>
      <c r="H5" s="11" t="s">
        <v>47</v>
      </c>
      <c r="I5" s="1">
        <v>2</v>
      </c>
      <c r="J5" s="1">
        <v>2.31</v>
      </c>
      <c r="K5" s="1">
        <v>1.1462000000000001</v>
      </c>
      <c r="L5" s="1">
        <v>0.01</v>
      </c>
      <c r="M5" s="11">
        <v>137.80000000000001</v>
      </c>
      <c r="N5" s="1">
        <v>10</v>
      </c>
      <c r="O5" s="11">
        <v>137.80000000000001</v>
      </c>
      <c r="P5" s="16">
        <v>1.1462000000000001</v>
      </c>
      <c r="Q5" s="6">
        <v>64.7</v>
      </c>
      <c r="R5" s="8">
        <v>100</v>
      </c>
      <c r="S5" s="1">
        <v>86.58</v>
      </c>
      <c r="T5" s="17">
        <v>69.152007216959845</v>
      </c>
      <c r="U5" s="1">
        <f t="shared" si="0"/>
        <v>17.427992783040153</v>
      </c>
      <c r="V5" s="1" t="s">
        <v>48</v>
      </c>
      <c r="W5" s="1" t="s">
        <v>56</v>
      </c>
      <c r="X5" s="12" t="s">
        <v>57</v>
      </c>
      <c r="Y5" s="13" t="s">
        <v>58</v>
      </c>
      <c r="Z5" s="12"/>
      <c r="AA5" s="12"/>
      <c r="AB5" s="5" t="s">
        <v>55</v>
      </c>
      <c r="AC5" s="14" t="s">
        <v>52</v>
      </c>
      <c r="AD5" s="13" t="s">
        <v>59</v>
      </c>
      <c r="AE5" s="14" t="s">
        <v>52</v>
      </c>
      <c r="AF5" s="13"/>
      <c r="AG5" s="13"/>
      <c r="BK5" s="6" t="s">
        <v>53</v>
      </c>
    </row>
    <row r="6" spans="1:63" x14ac:dyDescent="0.2">
      <c r="A6" s="1">
        <v>3</v>
      </c>
      <c r="B6" s="5" t="s">
        <v>44</v>
      </c>
      <c r="C6" s="1" t="s">
        <v>45</v>
      </c>
      <c r="D6" s="5" t="s">
        <v>55</v>
      </c>
      <c r="E6" s="9">
        <v>22.5</v>
      </c>
      <c r="F6" s="10">
        <v>1947</v>
      </c>
      <c r="G6" s="10">
        <v>1990.8</v>
      </c>
      <c r="H6" s="11" t="s">
        <v>47</v>
      </c>
      <c r="I6" s="1">
        <v>1.97</v>
      </c>
      <c r="J6" s="1">
        <v>2.2200000000000002</v>
      </c>
      <c r="K6" s="1">
        <v>1.034</v>
      </c>
      <c r="L6" s="1">
        <v>1.38E-2</v>
      </c>
      <c r="M6" s="11">
        <v>26.4</v>
      </c>
      <c r="N6" s="1">
        <v>14</v>
      </c>
      <c r="O6" s="18">
        <f>(M6-M5*(1-R6/100))*100/R6</f>
        <v>20.536842105263148</v>
      </c>
      <c r="P6" s="19">
        <f>(K6-K5*(1-R6/100))*100/R6</f>
        <v>1.0280947368421052</v>
      </c>
      <c r="Q6" s="6">
        <v>13.65</v>
      </c>
      <c r="R6" s="8">
        <v>95</v>
      </c>
      <c r="S6" s="1">
        <v>26.77</v>
      </c>
      <c r="T6" s="1">
        <v>19.8</v>
      </c>
      <c r="U6" s="1">
        <f t="shared" si="0"/>
        <v>6.9699999999999989</v>
      </c>
      <c r="V6" s="1" t="s">
        <v>48</v>
      </c>
      <c r="W6" s="1" t="s">
        <v>56</v>
      </c>
      <c r="X6" s="12" t="s">
        <v>57</v>
      </c>
      <c r="Y6" s="13" t="s">
        <v>58</v>
      </c>
      <c r="Z6" s="12"/>
      <c r="AA6" s="12"/>
      <c r="AB6" s="5" t="s">
        <v>55</v>
      </c>
      <c r="AC6" s="14" t="s">
        <v>52</v>
      </c>
      <c r="AD6" s="13" t="s">
        <v>59</v>
      </c>
      <c r="AE6" s="14" t="s">
        <v>52</v>
      </c>
      <c r="AF6" s="14"/>
      <c r="AG6" s="14"/>
      <c r="AH6" s="6"/>
      <c r="AI6" s="6"/>
      <c r="AJ6" s="6"/>
      <c r="AK6" s="6"/>
      <c r="AL6" s="6"/>
      <c r="AM6" s="6"/>
      <c r="AN6" s="6"/>
      <c r="AO6" s="68"/>
      <c r="AP6" s="68"/>
      <c r="AQ6" s="6"/>
      <c r="AR6" s="71"/>
      <c r="AS6" s="71"/>
      <c r="AT6" s="6"/>
      <c r="AU6" s="77"/>
      <c r="AV6" s="77"/>
      <c r="AW6" s="6"/>
      <c r="AX6" s="74"/>
      <c r="AY6" s="74"/>
      <c r="AZ6" s="6"/>
      <c r="BA6" s="80"/>
      <c r="BB6" s="80"/>
      <c r="BC6" s="6"/>
      <c r="BD6" s="84"/>
      <c r="BE6" s="84"/>
      <c r="BF6" s="6"/>
      <c r="BG6" s="6"/>
      <c r="BH6" s="6"/>
      <c r="BI6" s="6"/>
      <c r="BJ6" s="6"/>
      <c r="BK6" s="6" t="s">
        <v>53</v>
      </c>
    </row>
    <row r="7" spans="1:63" x14ac:dyDescent="0.2">
      <c r="A7" s="1">
        <v>4</v>
      </c>
      <c r="B7" s="5" t="s">
        <v>44</v>
      </c>
      <c r="C7" s="1" t="s">
        <v>54</v>
      </c>
      <c r="D7" s="5" t="s">
        <v>60</v>
      </c>
      <c r="E7" s="9">
        <v>25.4</v>
      </c>
      <c r="F7" s="10">
        <v>1947.2</v>
      </c>
      <c r="G7" s="10">
        <v>1990.4</v>
      </c>
      <c r="H7" s="11" t="s">
        <v>47</v>
      </c>
      <c r="I7" s="1">
        <v>2.0099999999999998</v>
      </c>
      <c r="J7" s="1">
        <v>2.33</v>
      </c>
      <c r="K7" s="1">
        <v>1.092537702298165</v>
      </c>
      <c r="L7" s="1">
        <v>1.1599999999999999E-2</v>
      </c>
      <c r="M7" s="11">
        <v>84.404667293463959</v>
      </c>
      <c r="N7" s="1">
        <v>11.6</v>
      </c>
      <c r="O7" s="11">
        <v>84.404667293463959</v>
      </c>
      <c r="P7" s="16">
        <v>1.092537702298165</v>
      </c>
      <c r="Q7" s="6">
        <v>99.4</v>
      </c>
      <c r="R7" s="8">
        <v>100</v>
      </c>
      <c r="S7" s="1">
        <v>166.4</v>
      </c>
      <c r="T7" s="1">
        <v>91.434370771312572</v>
      </c>
      <c r="U7" s="1">
        <f t="shared" si="0"/>
        <v>74.965629228687433</v>
      </c>
      <c r="V7" s="1" t="s">
        <v>48</v>
      </c>
      <c r="W7" s="1" t="s">
        <v>56</v>
      </c>
      <c r="X7" s="12" t="s">
        <v>61</v>
      </c>
      <c r="Y7" s="13" t="s">
        <v>62</v>
      </c>
      <c r="Z7" s="12"/>
      <c r="AA7" s="1" t="s">
        <v>62</v>
      </c>
      <c r="AB7" s="5" t="s">
        <v>60</v>
      </c>
      <c r="AC7" s="14" t="s">
        <v>52</v>
      </c>
      <c r="AD7" s="13" t="s">
        <v>59</v>
      </c>
      <c r="AE7" s="14" t="s">
        <v>52</v>
      </c>
      <c r="AF7" s="13"/>
      <c r="AG7" s="13"/>
      <c r="BK7" s="6" t="s">
        <v>53</v>
      </c>
    </row>
    <row r="8" spans="1:63" x14ac:dyDescent="0.2">
      <c r="A8" s="1">
        <v>5</v>
      </c>
      <c r="B8" s="5" t="s">
        <v>44</v>
      </c>
      <c r="C8" s="1" t="s">
        <v>45</v>
      </c>
      <c r="D8" s="5" t="s">
        <v>60</v>
      </c>
      <c r="E8" s="9">
        <v>25.4</v>
      </c>
      <c r="F8" s="10">
        <v>1947.2</v>
      </c>
      <c r="G8" s="10">
        <v>1990.4</v>
      </c>
      <c r="H8" s="11" t="s">
        <v>47</v>
      </c>
      <c r="I8" s="1">
        <v>1.98</v>
      </c>
      <c r="J8" s="1">
        <v>2.13</v>
      </c>
      <c r="K8" s="1">
        <v>1.0314741223547743</v>
      </c>
      <c r="L8" s="1">
        <v>1.7600000000000001E-2</v>
      </c>
      <c r="M8" s="11">
        <v>23.795654942703859</v>
      </c>
      <c r="N8" s="1">
        <v>17.600000000000001</v>
      </c>
      <c r="O8" s="18">
        <f>(M8-M7*(1-R8/100))*100/R8</f>
        <v>19.373538161747113</v>
      </c>
      <c r="P8" s="19">
        <f>(K8-K7*(1-R8/100))*100/R8</f>
        <v>1.0270188396979605</v>
      </c>
      <c r="Q8" s="6">
        <v>7.1</v>
      </c>
      <c r="R8" s="8">
        <v>93.2</v>
      </c>
      <c r="S8" s="1">
        <v>29.5</v>
      </c>
      <c r="T8" s="1">
        <v>15.972034280559313</v>
      </c>
      <c r="U8" s="1">
        <f t="shared" si="0"/>
        <v>13.527965719440687</v>
      </c>
      <c r="V8" s="1" t="s">
        <v>48</v>
      </c>
      <c r="W8" s="1" t="s">
        <v>56</v>
      </c>
      <c r="X8" s="12" t="s">
        <v>61</v>
      </c>
      <c r="Y8" s="13" t="s">
        <v>62</v>
      </c>
      <c r="Z8" s="12"/>
      <c r="AA8" s="1" t="s">
        <v>62</v>
      </c>
      <c r="AB8" s="5" t="s">
        <v>60</v>
      </c>
      <c r="AC8" s="14" t="s">
        <v>52</v>
      </c>
      <c r="AD8" s="13" t="s">
        <v>59</v>
      </c>
      <c r="AE8" s="14" t="s">
        <v>52</v>
      </c>
      <c r="AF8" s="14"/>
      <c r="AG8" s="14"/>
      <c r="AH8" s="6"/>
      <c r="AI8" s="6"/>
      <c r="AJ8" s="6"/>
      <c r="AK8" s="6"/>
      <c r="AL8" s="6"/>
      <c r="AM8" s="6"/>
      <c r="AN8" s="6"/>
      <c r="AO8" s="68"/>
      <c r="AP8" s="68"/>
      <c r="AQ8" s="6"/>
      <c r="AR8" s="71"/>
      <c r="AS8" s="71"/>
      <c r="AT8" s="6"/>
      <c r="AU8" s="77"/>
      <c r="AV8" s="77"/>
      <c r="AW8" s="6"/>
      <c r="AX8" s="74"/>
      <c r="AY8" s="74"/>
      <c r="AZ8" s="6"/>
      <c r="BA8" s="80"/>
      <c r="BB8" s="80"/>
      <c r="BC8" s="6"/>
      <c r="BD8" s="84"/>
      <c r="BE8" s="84"/>
      <c r="BF8" s="6"/>
      <c r="BG8" s="6"/>
      <c r="BH8" s="6"/>
      <c r="BI8" s="6"/>
      <c r="BJ8" s="6"/>
      <c r="BK8" s="6" t="s">
        <v>53</v>
      </c>
    </row>
    <row r="9" spans="1:63" x14ac:dyDescent="0.2">
      <c r="A9" s="1">
        <v>6</v>
      </c>
      <c r="B9" s="12" t="s">
        <v>63</v>
      </c>
      <c r="C9" s="1" t="s">
        <v>45</v>
      </c>
      <c r="D9" s="1" t="s">
        <v>64</v>
      </c>
      <c r="E9" s="11">
        <v>25.4</v>
      </c>
      <c r="F9" s="10">
        <v>1946.3</v>
      </c>
      <c r="G9" s="10">
        <v>1990.5</v>
      </c>
      <c r="H9" s="20" t="s">
        <v>47</v>
      </c>
      <c r="I9" s="1">
        <v>1.98</v>
      </c>
      <c r="J9" s="1">
        <v>2.2000000000000002</v>
      </c>
      <c r="K9" s="21">
        <v>1.0646</v>
      </c>
      <c r="L9" s="21">
        <v>1.6400000000000001E-2</v>
      </c>
      <c r="M9" s="10">
        <v>56.8</v>
      </c>
      <c r="N9" s="22">
        <v>16.399999999999999</v>
      </c>
      <c r="O9" s="10">
        <v>56.8</v>
      </c>
      <c r="P9" s="66">
        <f>(K9-1.132744191*(1-R9/100))*100/R9</f>
        <v>1.062055196186722</v>
      </c>
      <c r="Q9" s="23">
        <v>13.9</v>
      </c>
      <c r="R9" s="24">
        <v>96.4</v>
      </c>
      <c r="S9" s="22">
        <v>31.2</v>
      </c>
      <c r="T9" s="22">
        <v>26.3</v>
      </c>
      <c r="U9" s="1">
        <f t="shared" si="0"/>
        <v>4.8999999999999986</v>
      </c>
      <c r="V9" s="1" t="s">
        <v>48</v>
      </c>
      <c r="W9" s="1" t="s">
        <v>56</v>
      </c>
      <c r="X9" s="12" t="s">
        <v>65</v>
      </c>
      <c r="Y9" s="13" t="s">
        <v>62</v>
      </c>
      <c r="Z9" s="12"/>
      <c r="AA9" s="1" t="s">
        <v>62</v>
      </c>
      <c r="AB9" s="1" t="s">
        <v>64</v>
      </c>
      <c r="AC9" s="14" t="s">
        <v>52</v>
      </c>
      <c r="AD9" s="13" t="s">
        <v>59</v>
      </c>
      <c r="AE9" s="14" t="s">
        <v>52</v>
      </c>
      <c r="AF9" s="25"/>
      <c r="AG9" s="25"/>
      <c r="AH9" s="12"/>
      <c r="AI9" s="12"/>
      <c r="AJ9" s="12"/>
      <c r="AK9" s="12"/>
      <c r="AL9" s="12"/>
      <c r="AM9" s="12"/>
      <c r="AN9" s="12"/>
      <c r="AO9" s="69"/>
      <c r="AP9" s="69"/>
      <c r="AQ9" s="12"/>
      <c r="AR9" s="72"/>
      <c r="AS9" s="72"/>
      <c r="AT9" s="12"/>
      <c r="AU9" s="78"/>
      <c r="AV9" s="78"/>
      <c r="AW9" s="12"/>
      <c r="AX9" s="75"/>
      <c r="AY9" s="75"/>
      <c r="AZ9" s="12"/>
      <c r="BA9" s="81"/>
      <c r="BB9" s="81"/>
      <c r="BC9" s="12"/>
      <c r="BD9" s="85"/>
      <c r="BE9" s="85"/>
      <c r="BF9" s="12"/>
      <c r="BG9" s="12"/>
      <c r="BH9" s="12"/>
      <c r="BI9" s="12"/>
      <c r="BJ9" s="12"/>
      <c r="BK9" s="6" t="s">
        <v>53</v>
      </c>
    </row>
    <row r="10" spans="1:63" x14ac:dyDescent="0.2">
      <c r="A10" s="1">
        <v>7</v>
      </c>
      <c r="B10" s="5" t="s">
        <v>44</v>
      </c>
      <c r="C10" s="1" t="s">
        <v>54</v>
      </c>
      <c r="D10" s="5" t="s">
        <v>66</v>
      </c>
      <c r="E10" s="9">
        <v>31.6</v>
      </c>
      <c r="F10" s="10">
        <v>1952.1</v>
      </c>
      <c r="G10" s="10">
        <v>1990.7</v>
      </c>
      <c r="H10" s="11" t="s">
        <v>47</v>
      </c>
      <c r="I10" s="1">
        <v>1.98</v>
      </c>
      <c r="J10" s="1">
        <v>2.38</v>
      </c>
      <c r="K10" s="1">
        <v>1.0846249046120608</v>
      </c>
      <c r="L10" s="1">
        <v>1.9199999999999998E-2</v>
      </c>
      <c r="M10" s="11">
        <v>76.550773808496956</v>
      </c>
      <c r="N10" s="1">
        <v>19.2</v>
      </c>
      <c r="O10" s="11">
        <v>76.550773808496956</v>
      </c>
      <c r="P10" s="16">
        <v>1.0846249046120608</v>
      </c>
      <c r="Q10" s="6">
        <v>20</v>
      </c>
      <c r="R10" s="8">
        <v>100</v>
      </c>
      <c r="S10" s="1">
        <v>28.833333333333332</v>
      </c>
      <c r="T10" s="1">
        <v>16.919260261614795</v>
      </c>
      <c r="U10" s="1">
        <f t="shared" si="0"/>
        <v>11.914073071718537</v>
      </c>
      <c r="V10" s="1" t="s">
        <v>48</v>
      </c>
      <c r="W10" s="1" t="s">
        <v>49</v>
      </c>
      <c r="X10" s="12" t="s">
        <v>67</v>
      </c>
      <c r="Y10" s="13" t="s">
        <v>62</v>
      </c>
      <c r="Z10" s="12"/>
      <c r="AA10" s="1" t="s">
        <v>62</v>
      </c>
      <c r="AB10" s="5" t="s">
        <v>66</v>
      </c>
      <c r="AC10" s="14" t="s">
        <v>52</v>
      </c>
      <c r="AD10" s="13" t="s">
        <v>59</v>
      </c>
      <c r="AE10" s="14" t="s">
        <v>52</v>
      </c>
      <c r="AF10" s="13"/>
      <c r="AG10" s="13"/>
      <c r="BK10" s="6" t="s">
        <v>53</v>
      </c>
    </row>
    <row r="11" spans="1:63" x14ac:dyDescent="0.2">
      <c r="A11" s="1">
        <v>8</v>
      </c>
      <c r="B11" s="12" t="s">
        <v>63</v>
      </c>
      <c r="C11" s="1" t="s">
        <v>54</v>
      </c>
      <c r="D11" s="1" t="s">
        <v>68</v>
      </c>
      <c r="E11" s="11">
        <v>28.3</v>
      </c>
      <c r="F11" s="10">
        <v>1954</v>
      </c>
      <c r="G11" s="10">
        <v>1990.8</v>
      </c>
      <c r="H11" s="20" t="s">
        <v>69</v>
      </c>
      <c r="I11" s="1">
        <v>1.96</v>
      </c>
      <c r="J11" s="1">
        <v>2.3199999999999998</v>
      </c>
      <c r="K11" s="21">
        <v>1.1338999999999999</v>
      </c>
      <c r="L11" s="21">
        <v>1.26E-2</v>
      </c>
      <c r="M11" s="10">
        <v>125.5</v>
      </c>
      <c r="N11" s="22">
        <v>12.6</v>
      </c>
      <c r="O11" s="10">
        <v>125.5</v>
      </c>
      <c r="P11" s="26">
        <v>1.1338999999999999</v>
      </c>
      <c r="Q11" s="23">
        <v>72.3</v>
      </c>
      <c r="R11" s="8">
        <v>100</v>
      </c>
      <c r="S11" s="22">
        <v>58.3</v>
      </c>
      <c r="T11" s="22">
        <v>24.8</v>
      </c>
      <c r="U11" s="1">
        <f t="shared" si="0"/>
        <v>33.5</v>
      </c>
      <c r="V11" s="1" t="s">
        <v>48</v>
      </c>
      <c r="W11" s="1" t="s">
        <v>49</v>
      </c>
      <c r="X11" s="12" t="s">
        <v>57</v>
      </c>
      <c r="Y11" s="13" t="s">
        <v>62</v>
      </c>
      <c r="Z11" s="12"/>
      <c r="AA11" s="1" t="s">
        <v>62</v>
      </c>
      <c r="AB11" s="1" t="s">
        <v>68</v>
      </c>
      <c r="AC11" s="14" t="s">
        <v>52</v>
      </c>
      <c r="AD11" s="13" t="s">
        <v>59</v>
      </c>
      <c r="AE11" s="14" t="s">
        <v>52</v>
      </c>
      <c r="AF11" s="25"/>
      <c r="AG11" s="25"/>
      <c r="AH11" s="12"/>
      <c r="AI11" s="12"/>
      <c r="AJ11" s="12"/>
      <c r="AK11" s="12"/>
      <c r="AL11" s="12"/>
      <c r="AM11" s="12"/>
      <c r="AN11" s="12"/>
      <c r="AO11" s="69"/>
      <c r="AP11" s="69"/>
      <c r="AQ11" s="12"/>
      <c r="AR11" s="72"/>
      <c r="AS11" s="72"/>
      <c r="AT11" s="12"/>
      <c r="AU11" s="78"/>
      <c r="AV11" s="78"/>
      <c r="AW11" s="12"/>
      <c r="AX11" s="75"/>
      <c r="AY11" s="75"/>
      <c r="AZ11" s="12"/>
      <c r="BA11" s="81"/>
      <c r="BB11" s="81"/>
      <c r="BC11" s="12"/>
      <c r="BD11" s="85"/>
      <c r="BE11" s="85"/>
      <c r="BF11" s="12"/>
      <c r="BG11" s="12"/>
      <c r="BH11" s="12"/>
      <c r="BI11" s="12"/>
      <c r="BJ11" s="12"/>
      <c r="BK11" s="6" t="s">
        <v>53</v>
      </c>
    </row>
    <row r="12" spans="1:63" x14ac:dyDescent="0.2">
      <c r="A12" s="1">
        <v>9</v>
      </c>
      <c r="B12" s="12" t="s">
        <v>63</v>
      </c>
      <c r="C12" s="1" t="s">
        <v>45</v>
      </c>
      <c r="D12" s="1" t="s">
        <v>68</v>
      </c>
      <c r="E12" s="11">
        <v>28.3</v>
      </c>
      <c r="F12" s="10">
        <v>1954</v>
      </c>
      <c r="G12" s="10">
        <v>1990.8</v>
      </c>
      <c r="H12" s="20" t="s">
        <v>69</v>
      </c>
      <c r="I12" s="1">
        <v>2.02</v>
      </c>
      <c r="J12" s="1">
        <v>2.27</v>
      </c>
      <c r="K12" s="21">
        <v>1.0550999999999999</v>
      </c>
      <c r="L12" s="21">
        <v>1.1599999999999999E-2</v>
      </c>
      <c r="M12" s="10">
        <v>47.4</v>
      </c>
      <c r="N12" s="22">
        <v>11.6</v>
      </c>
      <c r="O12" s="18">
        <f>(M12-M11*(1-96/100))*100/96</f>
        <v>44.145833333333336</v>
      </c>
      <c r="P12" s="19">
        <f>(K12-K11*(1-96/100))*100/96</f>
        <v>1.0518166666666666</v>
      </c>
      <c r="Q12" s="23">
        <v>10.7</v>
      </c>
      <c r="R12" s="24" t="s">
        <v>59</v>
      </c>
      <c r="S12" s="22">
        <v>29.9</v>
      </c>
      <c r="T12" s="22">
        <v>25.8</v>
      </c>
      <c r="U12" s="1">
        <f t="shared" si="0"/>
        <v>4.0999999999999979</v>
      </c>
      <c r="V12" s="1" t="s">
        <v>48</v>
      </c>
      <c r="W12" s="1" t="s">
        <v>49</v>
      </c>
      <c r="X12" s="12" t="s">
        <v>57</v>
      </c>
      <c r="Y12" s="13" t="s">
        <v>62</v>
      </c>
      <c r="Z12" s="12"/>
      <c r="AA12" s="1" t="s">
        <v>62</v>
      </c>
      <c r="AB12" s="1" t="s">
        <v>68</v>
      </c>
      <c r="AC12" s="14" t="s">
        <v>52</v>
      </c>
      <c r="AD12" s="13" t="s">
        <v>59</v>
      </c>
      <c r="AE12" s="14" t="s">
        <v>52</v>
      </c>
      <c r="AF12" s="25"/>
      <c r="AG12" s="25"/>
      <c r="AH12" s="12"/>
      <c r="AI12" s="12"/>
      <c r="AJ12" s="12"/>
      <c r="AK12" s="12"/>
      <c r="AL12" s="12"/>
      <c r="AM12" s="12"/>
      <c r="AN12" s="12"/>
      <c r="AO12" s="69"/>
      <c r="AP12" s="69"/>
      <c r="AQ12" s="12"/>
      <c r="AR12" s="72"/>
      <c r="AS12" s="72"/>
      <c r="AT12" s="12"/>
      <c r="AU12" s="78"/>
      <c r="AV12" s="78"/>
      <c r="AW12" s="12"/>
      <c r="AX12" s="75"/>
      <c r="AY12" s="75"/>
      <c r="AZ12" s="12"/>
      <c r="BA12" s="81"/>
      <c r="BB12" s="81"/>
      <c r="BC12" s="12"/>
      <c r="BD12" s="85"/>
      <c r="BE12" s="85"/>
      <c r="BF12" s="12"/>
      <c r="BG12" s="12"/>
      <c r="BH12" s="12"/>
      <c r="BI12" s="12"/>
      <c r="BJ12" s="12"/>
      <c r="BK12" s="6" t="s">
        <v>53</v>
      </c>
    </row>
    <row r="13" spans="1:63" x14ac:dyDescent="0.2">
      <c r="A13" s="1">
        <v>10</v>
      </c>
      <c r="B13" s="12" t="s">
        <v>63</v>
      </c>
      <c r="C13" s="12" t="s">
        <v>54</v>
      </c>
      <c r="D13" s="1" t="s">
        <v>70</v>
      </c>
      <c r="E13" s="20">
        <v>23.8</v>
      </c>
      <c r="F13" s="10">
        <v>1949.1</v>
      </c>
      <c r="G13" s="10">
        <v>1991.1</v>
      </c>
      <c r="H13" s="20" t="s">
        <v>47</v>
      </c>
      <c r="I13" s="1">
        <v>1.97</v>
      </c>
      <c r="J13" s="1">
        <v>2.42</v>
      </c>
      <c r="K13" s="27">
        <v>1.1355626609604754</v>
      </c>
      <c r="L13" s="27">
        <v>1.6399999999999998E-2</v>
      </c>
      <c r="M13" s="28">
        <v>127.22122390358881</v>
      </c>
      <c r="N13" s="29">
        <v>16.399999999999999</v>
      </c>
      <c r="O13" s="28">
        <v>127.22122390358881</v>
      </c>
      <c r="P13" s="30">
        <v>1.1355626609604754</v>
      </c>
      <c r="Q13" s="23" t="s">
        <v>59</v>
      </c>
      <c r="R13" s="8">
        <v>100</v>
      </c>
      <c r="S13" s="22">
        <v>18.55</v>
      </c>
      <c r="T13" s="17">
        <v>15.881822282363553</v>
      </c>
      <c r="U13" s="1">
        <f t="shared" si="0"/>
        <v>2.6681777176364481</v>
      </c>
      <c r="V13" s="1" t="s">
        <v>48</v>
      </c>
      <c r="W13" s="1" t="s">
        <v>49</v>
      </c>
      <c r="X13" s="12" t="s">
        <v>71</v>
      </c>
      <c r="Y13" s="13" t="s">
        <v>62</v>
      </c>
      <c r="Z13" s="12"/>
      <c r="AA13" s="1" t="s">
        <v>62</v>
      </c>
      <c r="AB13" s="1" t="s">
        <v>70</v>
      </c>
      <c r="AC13" s="14" t="s">
        <v>52</v>
      </c>
      <c r="AD13" s="13" t="s">
        <v>59</v>
      </c>
      <c r="AE13" s="14" t="s">
        <v>52</v>
      </c>
      <c r="AF13" s="25"/>
      <c r="AG13" s="25"/>
      <c r="AH13" s="12"/>
      <c r="AI13" s="12"/>
      <c r="AJ13" s="12"/>
      <c r="AK13" s="12"/>
      <c r="AL13" s="12"/>
      <c r="AM13" s="12"/>
      <c r="AN13" s="12"/>
      <c r="AO13" s="69"/>
      <c r="AP13" s="69"/>
      <c r="AQ13" s="12"/>
      <c r="AR13" s="72"/>
      <c r="AS13" s="72"/>
      <c r="AT13" s="12"/>
      <c r="AU13" s="78"/>
      <c r="AV13" s="78"/>
      <c r="AW13" s="12"/>
      <c r="AX13" s="75"/>
      <c r="AY13" s="75"/>
      <c r="AZ13" s="12"/>
      <c r="BA13" s="81"/>
      <c r="BB13" s="81"/>
      <c r="BC13" s="12"/>
      <c r="BD13" s="85"/>
      <c r="BE13" s="85"/>
      <c r="BF13" s="12"/>
      <c r="BG13" s="12"/>
      <c r="BH13" s="12"/>
      <c r="BI13" s="12"/>
      <c r="BJ13" s="12"/>
      <c r="BK13" s="6" t="s">
        <v>53</v>
      </c>
    </row>
    <row r="14" spans="1:63" x14ac:dyDescent="0.2">
      <c r="A14" s="1">
        <v>11</v>
      </c>
      <c r="B14" s="12" t="s">
        <v>63</v>
      </c>
      <c r="C14" s="1" t="s">
        <v>45</v>
      </c>
      <c r="D14" s="1" t="s">
        <v>70</v>
      </c>
      <c r="E14" s="20">
        <v>23.8</v>
      </c>
      <c r="F14" s="10">
        <v>1949.1</v>
      </c>
      <c r="G14" s="10">
        <v>1991.1</v>
      </c>
      <c r="H14" s="20" t="s">
        <v>47</v>
      </c>
      <c r="I14" s="1">
        <v>2.02</v>
      </c>
      <c r="J14" s="1">
        <v>2.63</v>
      </c>
      <c r="K14" s="21">
        <v>1.0290999999999999</v>
      </c>
      <c r="L14" s="21">
        <v>2.4E-2</v>
      </c>
      <c r="M14" s="10">
        <v>21.5</v>
      </c>
      <c r="N14" s="22">
        <v>24</v>
      </c>
      <c r="O14" s="18">
        <f>(M14-M13*(1-R14/100))*100/R14</f>
        <v>19.232231152221292</v>
      </c>
      <c r="P14" s="19">
        <f>(K14-K13*(1-R14/100))*100/R14</f>
        <v>1.0268163269865473</v>
      </c>
      <c r="Q14" s="23">
        <v>6.16</v>
      </c>
      <c r="R14" s="24">
        <v>97.9</v>
      </c>
      <c r="S14" s="22">
        <v>6.95</v>
      </c>
      <c r="T14" s="22">
        <v>6.1</v>
      </c>
      <c r="U14" s="1">
        <f t="shared" si="0"/>
        <v>0.85000000000000053</v>
      </c>
      <c r="V14" s="1" t="s">
        <v>48</v>
      </c>
      <c r="W14" s="1" t="s">
        <v>49</v>
      </c>
      <c r="X14" s="12" t="s">
        <v>71</v>
      </c>
      <c r="Y14" s="13" t="s">
        <v>62</v>
      </c>
      <c r="Z14" s="12"/>
      <c r="AA14" s="1" t="s">
        <v>62</v>
      </c>
      <c r="AB14" s="1" t="s">
        <v>70</v>
      </c>
      <c r="AC14" s="14" t="s">
        <v>52</v>
      </c>
      <c r="AD14" s="13" t="s">
        <v>59</v>
      </c>
      <c r="AE14" s="14" t="s">
        <v>52</v>
      </c>
      <c r="AF14" s="25"/>
      <c r="AG14" s="25"/>
      <c r="AH14" s="12"/>
      <c r="AI14" s="12"/>
      <c r="AJ14" s="12"/>
      <c r="AK14" s="12"/>
      <c r="AL14" s="12"/>
      <c r="AM14" s="12"/>
      <c r="AN14" s="12"/>
      <c r="AO14" s="69"/>
      <c r="AP14" s="69"/>
      <c r="AQ14" s="12"/>
      <c r="AR14" s="72"/>
      <c r="AS14" s="72"/>
      <c r="AT14" s="12"/>
      <c r="AU14" s="78"/>
      <c r="AV14" s="78"/>
      <c r="AW14" s="12"/>
      <c r="AX14" s="75"/>
      <c r="AY14" s="75"/>
      <c r="AZ14" s="12"/>
      <c r="BA14" s="81"/>
      <c r="BB14" s="81"/>
      <c r="BC14" s="12"/>
      <c r="BD14" s="85"/>
      <c r="BE14" s="85"/>
      <c r="BF14" s="12"/>
      <c r="BG14" s="12"/>
      <c r="BH14" s="12"/>
      <c r="BI14" s="12"/>
      <c r="BJ14" s="12"/>
      <c r="BK14" s="6" t="s">
        <v>53</v>
      </c>
    </row>
    <row r="15" spans="1:63" x14ac:dyDescent="0.2">
      <c r="A15" s="1">
        <v>12</v>
      </c>
      <c r="B15" s="12" t="s">
        <v>63</v>
      </c>
      <c r="C15" s="1" t="s">
        <v>54</v>
      </c>
      <c r="D15" s="1" t="s">
        <v>72</v>
      </c>
      <c r="E15" s="20">
        <v>23.43</v>
      </c>
      <c r="F15" s="10">
        <v>1947.8</v>
      </c>
      <c r="G15" s="10">
        <v>1992</v>
      </c>
      <c r="H15" s="20" t="s">
        <v>47</v>
      </c>
      <c r="I15" s="1">
        <v>1.97</v>
      </c>
      <c r="J15" s="1">
        <v>2.2799999999999998</v>
      </c>
      <c r="K15" s="21">
        <v>1.1217999999999999</v>
      </c>
      <c r="L15" s="21">
        <v>1.84E-2</v>
      </c>
      <c r="M15" s="10">
        <v>113.5</v>
      </c>
      <c r="N15" s="22">
        <v>18.399999999999999</v>
      </c>
      <c r="O15" s="10">
        <v>113.5</v>
      </c>
      <c r="P15" s="26">
        <v>1.1217999999999999</v>
      </c>
      <c r="Q15" s="23">
        <v>38.5</v>
      </c>
      <c r="R15" s="8">
        <v>100</v>
      </c>
      <c r="S15" s="22">
        <v>9.5</v>
      </c>
      <c r="T15" s="22">
        <v>9.1999999999999993</v>
      </c>
      <c r="U15" s="1">
        <f t="shared" si="0"/>
        <v>0.30000000000000071</v>
      </c>
      <c r="V15" s="1" t="s">
        <v>48</v>
      </c>
      <c r="W15" s="1" t="s">
        <v>49</v>
      </c>
      <c r="X15" s="12" t="s">
        <v>73</v>
      </c>
      <c r="Y15" s="13" t="s">
        <v>62</v>
      </c>
      <c r="Z15" s="12"/>
      <c r="AA15" s="1" t="s">
        <v>62</v>
      </c>
      <c r="AB15" s="1" t="s">
        <v>72</v>
      </c>
      <c r="AC15" s="14" t="s">
        <v>52</v>
      </c>
      <c r="AD15" s="13" t="s">
        <v>59</v>
      </c>
      <c r="AE15" s="14" t="s">
        <v>52</v>
      </c>
      <c r="AF15" s="25"/>
      <c r="AG15" s="25"/>
      <c r="AH15" s="12"/>
      <c r="AI15" s="12"/>
      <c r="AJ15" s="12"/>
      <c r="AK15" s="12"/>
      <c r="AL15" s="12"/>
      <c r="AM15" s="12"/>
      <c r="AN15" s="12"/>
      <c r="AO15" s="69"/>
      <c r="AP15" s="69"/>
      <c r="AQ15" s="12"/>
      <c r="AR15" s="72"/>
      <c r="AS15" s="72"/>
      <c r="AT15" s="12"/>
      <c r="AU15" s="78"/>
      <c r="AV15" s="78"/>
      <c r="AW15" s="12"/>
      <c r="AX15" s="75"/>
      <c r="AY15" s="75"/>
      <c r="AZ15" s="12"/>
      <c r="BA15" s="81"/>
      <c r="BB15" s="81"/>
      <c r="BC15" s="12"/>
      <c r="BD15" s="85"/>
      <c r="BE15" s="85"/>
      <c r="BF15" s="12"/>
      <c r="BG15" s="12"/>
      <c r="BH15" s="12"/>
      <c r="BI15" s="12"/>
      <c r="BJ15" s="12"/>
      <c r="BK15" s="6" t="s">
        <v>53</v>
      </c>
    </row>
    <row r="16" spans="1:63" x14ac:dyDescent="0.2">
      <c r="A16" s="1">
        <v>13</v>
      </c>
      <c r="B16" s="12" t="s">
        <v>63</v>
      </c>
      <c r="C16" s="1" t="s">
        <v>45</v>
      </c>
      <c r="D16" s="1" t="s">
        <v>72</v>
      </c>
      <c r="E16" s="20">
        <v>23.43</v>
      </c>
      <c r="F16" s="10">
        <v>1947.8</v>
      </c>
      <c r="G16" s="10">
        <v>1992</v>
      </c>
      <c r="H16" s="20" t="s">
        <v>47</v>
      </c>
      <c r="I16" s="1">
        <v>1.96</v>
      </c>
      <c r="J16" s="1">
        <v>2.2599999999999998</v>
      </c>
      <c r="K16" s="21">
        <v>1.03</v>
      </c>
      <c r="L16" s="21">
        <v>1.54E-2</v>
      </c>
      <c r="M16" s="10">
        <v>22.4</v>
      </c>
      <c r="N16" s="22">
        <v>15.4</v>
      </c>
      <c r="O16" s="18">
        <f>(M16-M15*(1-R16/100))*100/R16</f>
        <v>21.386754297269977</v>
      </c>
      <c r="P16" s="19">
        <f>(K16-K15*(1-R16/100))*100/R16</f>
        <v>1.0289789686552073</v>
      </c>
      <c r="Q16" s="23">
        <v>9.98</v>
      </c>
      <c r="R16" s="24">
        <v>98.9</v>
      </c>
      <c r="S16" s="22">
        <v>18.8</v>
      </c>
      <c r="T16" s="22">
        <v>13.5</v>
      </c>
      <c r="U16" s="1">
        <f t="shared" si="0"/>
        <v>5.3000000000000007</v>
      </c>
      <c r="V16" s="1" t="s">
        <v>48</v>
      </c>
      <c r="W16" s="1" t="s">
        <v>49</v>
      </c>
      <c r="X16" s="12" t="s">
        <v>73</v>
      </c>
      <c r="Y16" s="13" t="s">
        <v>62</v>
      </c>
      <c r="Z16" s="12"/>
      <c r="AA16" s="1" t="s">
        <v>62</v>
      </c>
      <c r="AB16" s="1" t="s">
        <v>72</v>
      </c>
      <c r="AC16" s="14" t="s">
        <v>52</v>
      </c>
      <c r="AD16" s="13" t="s">
        <v>59</v>
      </c>
      <c r="AE16" s="14" t="s">
        <v>52</v>
      </c>
      <c r="AF16" s="25"/>
      <c r="AG16" s="25"/>
      <c r="AH16" s="12"/>
      <c r="AI16" s="12"/>
      <c r="AJ16" s="12"/>
      <c r="AK16" s="12"/>
      <c r="AL16" s="12"/>
      <c r="AM16" s="12"/>
      <c r="AN16" s="12"/>
      <c r="AO16" s="69"/>
      <c r="AP16" s="69"/>
      <c r="AQ16" s="12"/>
      <c r="AR16" s="72"/>
      <c r="AS16" s="72"/>
      <c r="AT16" s="12"/>
      <c r="AU16" s="78"/>
      <c r="AV16" s="78"/>
      <c r="AW16" s="12"/>
      <c r="AX16" s="75"/>
      <c r="AY16" s="75"/>
      <c r="AZ16" s="12"/>
      <c r="BA16" s="81"/>
      <c r="BB16" s="81"/>
      <c r="BC16" s="12"/>
      <c r="BD16" s="85"/>
      <c r="BE16" s="85"/>
      <c r="BF16" s="12"/>
      <c r="BG16" s="12"/>
      <c r="BH16" s="12"/>
      <c r="BI16" s="12"/>
      <c r="BJ16" s="12"/>
      <c r="BK16" s="6" t="s">
        <v>53</v>
      </c>
    </row>
    <row r="17" spans="1:63" x14ac:dyDescent="0.2">
      <c r="A17" s="1">
        <v>14</v>
      </c>
      <c r="B17" s="5" t="s">
        <v>44</v>
      </c>
      <c r="C17" s="1" t="s">
        <v>54</v>
      </c>
      <c r="D17" s="5" t="s">
        <v>74</v>
      </c>
      <c r="E17" s="9">
        <v>26.1</v>
      </c>
      <c r="F17" s="10">
        <v>1949.4</v>
      </c>
      <c r="G17" s="10">
        <v>1992.3</v>
      </c>
      <c r="H17" s="11" t="s">
        <v>69</v>
      </c>
      <c r="I17" s="1">
        <v>1.98</v>
      </c>
      <c r="J17" s="1">
        <v>2.36</v>
      </c>
      <c r="K17" s="1">
        <v>1.1367010745733106</v>
      </c>
      <c r="L17" s="1">
        <v>1.6799999999999999E-2</v>
      </c>
      <c r="M17" s="11">
        <v>128.23927997350927</v>
      </c>
      <c r="N17" s="1">
        <v>16.8</v>
      </c>
      <c r="O17" s="11">
        <v>128.23927997350927</v>
      </c>
      <c r="P17" s="16">
        <v>1.1367010745733106</v>
      </c>
      <c r="Q17" s="6" t="s">
        <v>59</v>
      </c>
      <c r="R17" s="8">
        <v>100</v>
      </c>
      <c r="S17" s="1">
        <v>27.433333333333334</v>
      </c>
      <c r="T17" s="1">
        <v>18.768606224627877</v>
      </c>
      <c r="U17" s="1">
        <f t="shared" si="0"/>
        <v>8.6647271087054563</v>
      </c>
      <c r="V17" s="1" t="s">
        <v>48</v>
      </c>
      <c r="W17" s="1" t="s">
        <v>56</v>
      </c>
      <c r="X17" s="12" t="s">
        <v>75</v>
      </c>
      <c r="Y17" s="13" t="s">
        <v>62</v>
      </c>
      <c r="Z17" s="12"/>
      <c r="AA17" s="1" t="s">
        <v>62</v>
      </c>
      <c r="AB17" s="5" t="s">
        <v>74</v>
      </c>
      <c r="AC17" s="14" t="s">
        <v>52</v>
      </c>
      <c r="AD17" s="13" t="s">
        <v>59</v>
      </c>
      <c r="AE17" s="14" t="s">
        <v>52</v>
      </c>
      <c r="AF17" s="14"/>
      <c r="AG17" s="14"/>
      <c r="AH17" s="6"/>
      <c r="AI17" s="6"/>
      <c r="AJ17" s="6"/>
      <c r="AK17" s="6"/>
      <c r="AL17" s="6"/>
      <c r="AM17" s="6"/>
      <c r="AN17" s="6"/>
      <c r="AO17" s="68"/>
      <c r="AP17" s="68"/>
      <c r="AQ17" s="6"/>
      <c r="AR17" s="71"/>
      <c r="AS17" s="71"/>
      <c r="AT17" s="6"/>
      <c r="AU17" s="77"/>
      <c r="AV17" s="77"/>
      <c r="AW17" s="6"/>
      <c r="AX17" s="74"/>
      <c r="AY17" s="74"/>
      <c r="AZ17" s="6"/>
      <c r="BA17" s="80"/>
      <c r="BB17" s="80"/>
      <c r="BC17" s="6"/>
      <c r="BD17" s="84"/>
      <c r="BE17" s="84"/>
      <c r="BF17" s="6"/>
      <c r="BG17" s="6"/>
      <c r="BH17" s="6"/>
      <c r="BI17" s="6"/>
      <c r="BJ17" s="6"/>
      <c r="BK17" s="6" t="s">
        <v>53</v>
      </c>
    </row>
    <row r="18" spans="1:63" x14ac:dyDescent="0.2">
      <c r="A18" s="1">
        <v>15</v>
      </c>
      <c r="B18" s="5" t="s">
        <v>44</v>
      </c>
      <c r="C18" s="1" t="s">
        <v>54</v>
      </c>
      <c r="D18" s="5" t="s">
        <v>76</v>
      </c>
      <c r="E18" s="9">
        <v>23.1</v>
      </c>
      <c r="F18" s="10">
        <v>1951.8</v>
      </c>
      <c r="G18" s="10">
        <v>1993.6</v>
      </c>
      <c r="H18" s="11" t="s">
        <v>47</v>
      </c>
      <c r="I18" s="1">
        <v>1.91</v>
      </c>
      <c r="J18" s="1">
        <v>2.2799999999999998</v>
      </c>
      <c r="K18" s="1">
        <v>1.1115011861772779</v>
      </c>
      <c r="L18" s="1">
        <v>1.3000000000000001E-2</v>
      </c>
      <c r="M18" s="11">
        <v>103.22698379878692</v>
      </c>
      <c r="N18" s="1">
        <v>13</v>
      </c>
      <c r="O18" s="11">
        <v>103.22698379878692</v>
      </c>
      <c r="P18" s="16">
        <v>1.1115011861772779</v>
      </c>
      <c r="Q18" s="6">
        <v>100.9</v>
      </c>
      <c r="R18" s="8">
        <v>100</v>
      </c>
      <c r="S18" s="1">
        <v>48.6</v>
      </c>
      <c r="T18" s="1">
        <v>43.306269733874608</v>
      </c>
      <c r="U18" s="1">
        <f t="shared" si="0"/>
        <v>5.2937302661253938</v>
      </c>
      <c r="V18" s="1" t="s">
        <v>48</v>
      </c>
      <c r="W18" s="1" t="s">
        <v>56</v>
      </c>
      <c r="X18" s="12" t="s">
        <v>77</v>
      </c>
      <c r="Y18" s="13" t="s">
        <v>62</v>
      </c>
      <c r="Z18" s="12"/>
      <c r="AA18" s="1" t="s">
        <v>62</v>
      </c>
      <c r="AB18" s="5" t="s">
        <v>76</v>
      </c>
      <c r="AC18" s="14" t="s">
        <v>52</v>
      </c>
      <c r="AD18" s="13" t="s">
        <v>59</v>
      </c>
      <c r="AE18" s="14" t="s">
        <v>52</v>
      </c>
      <c r="AF18" s="13"/>
      <c r="AG18" s="13"/>
      <c r="BK18" s="6" t="s">
        <v>53</v>
      </c>
    </row>
    <row r="19" spans="1:63" x14ac:dyDescent="0.2">
      <c r="A19" s="1">
        <v>16</v>
      </c>
      <c r="B19" s="5" t="s">
        <v>44</v>
      </c>
      <c r="C19" s="1" t="s">
        <v>45</v>
      </c>
      <c r="D19" s="5" t="s">
        <v>76</v>
      </c>
      <c r="E19" s="9">
        <v>23.1</v>
      </c>
      <c r="F19" s="10">
        <v>1951.8</v>
      </c>
      <c r="G19" s="10">
        <v>1993.6</v>
      </c>
      <c r="H19" s="11" t="s">
        <v>47</v>
      </c>
      <c r="I19" s="1">
        <v>1.99</v>
      </c>
      <c r="J19" s="1">
        <v>2.31</v>
      </c>
      <c r="K19" s="1">
        <v>1.0178841182934839</v>
      </c>
      <c r="L19" s="1">
        <v>1.5600000000000001E-2</v>
      </c>
      <c r="M19" s="11">
        <v>10.306817164748239</v>
      </c>
      <c r="N19" s="1">
        <v>15.600000000000001</v>
      </c>
      <c r="O19" s="18">
        <f>(M19-M18*(1-R19/100))*100/R19</f>
        <v>4.0592499310828911</v>
      </c>
      <c r="P19" s="19">
        <f>(K19-K18*(1-R19/100))*100/R19</f>
        <v>1.011589694305566</v>
      </c>
      <c r="Q19" s="6">
        <v>14.2</v>
      </c>
      <c r="R19" s="8">
        <v>93.7</v>
      </c>
      <c r="S19" s="1">
        <v>31.3</v>
      </c>
      <c r="T19" s="1">
        <v>20.617952187640959</v>
      </c>
      <c r="U19" s="1">
        <f t="shared" si="0"/>
        <v>10.682047812359041</v>
      </c>
      <c r="V19" s="1" t="s">
        <v>48</v>
      </c>
      <c r="W19" s="1" t="s">
        <v>56</v>
      </c>
      <c r="X19" s="12" t="s">
        <v>77</v>
      </c>
      <c r="Y19" s="13" t="s">
        <v>62</v>
      </c>
      <c r="Z19" s="12"/>
      <c r="AA19" s="1" t="s">
        <v>62</v>
      </c>
      <c r="AB19" s="5" t="s">
        <v>76</v>
      </c>
      <c r="AC19" s="14" t="s">
        <v>52</v>
      </c>
      <c r="AD19" s="13" t="s">
        <v>59</v>
      </c>
      <c r="AE19" s="14" t="s">
        <v>52</v>
      </c>
      <c r="AF19" s="14"/>
      <c r="AG19" s="14"/>
      <c r="AH19" s="6"/>
      <c r="AI19" s="6"/>
      <c r="AJ19" s="6"/>
      <c r="AK19" s="6"/>
      <c r="AL19" s="6"/>
      <c r="AM19" s="6"/>
      <c r="AN19" s="6"/>
      <c r="AO19" s="68"/>
      <c r="AP19" s="68"/>
      <c r="AQ19" s="6"/>
      <c r="AR19" s="71"/>
      <c r="AS19" s="71"/>
      <c r="AT19" s="6"/>
      <c r="AU19" s="77"/>
      <c r="AV19" s="77"/>
      <c r="AW19" s="6"/>
      <c r="AX19" s="74"/>
      <c r="AY19" s="74"/>
      <c r="AZ19" s="6"/>
      <c r="BA19" s="80"/>
      <c r="BB19" s="80"/>
      <c r="BC19" s="6"/>
      <c r="BD19" s="84"/>
      <c r="BE19" s="84"/>
      <c r="BF19" s="6"/>
      <c r="BG19" s="6"/>
      <c r="BH19" s="6"/>
      <c r="BI19" s="6"/>
      <c r="BJ19" s="6"/>
      <c r="BK19" s="6" t="s">
        <v>53</v>
      </c>
    </row>
    <row r="20" spans="1:63" x14ac:dyDescent="0.2">
      <c r="A20" s="1">
        <v>17</v>
      </c>
      <c r="B20" s="12" t="s">
        <v>63</v>
      </c>
      <c r="C20" s="12" t="s">
        <v>54</v>
      </c>
      <c r="D20" s="1" t="s">
        <v>78</v>
      </c>
      <c r="E20" s="20">
        <v>24.8</v>
      </c>
      <c r="F20" s="10">
        <v>1955.7</v>
      </c>
      <c r="G20" s="10">
        <v>1994.1</v>
      </c>
      <c r="H20" s="20" t="s">
        <v>47</v>
      </c>
      <c r="I20" s="1">
        <v>2.0099999999999998</v>
      </c>
      <c r="J20" s="1">
        <v>2.27</v>
      </c>
      <c r="K20" s="27">
        <v>1.1666123401648267</v>
      </c>
      <c r="L20" s="27">
        <v>1.54E-2</v>
      </c>
      <c r="M20" s="28">
        <v>157.92788105689982</v>
      </c>
      <c r="N20" s="29">
        <v>15.4</v>
      </c>
      <c r="O20" s="28">
        <v>157.92788105689982</v>
      </c>
      <c r="P20" s="30">
        <v>1.1666123401648267</v>
      </c>
      <c r="Q20" s="23" t="s">
        <v>59</v>
      </c>
      <c r="R20" s="8">
        <v>100</v>
      </c>
      <c r="S20" s="22">
        <v>58.833333333333336</v>
      </c>
      <c r="T20" s="17">
        <v>40.599909788001803</v>
      </c>
      <c r="U20" s="1">
        <f t="shared" si="0"/>
        <v>18.233423545331533</v>
      </c>
      <c r="V20" s="1" t="s">
        <v>48</v>
      </c>
      <c r="W20" s="1" t="s">
        <v>56</v>
      </c>
      <c r="X20" s="12" t="s">
        <v>79</v>
      </c>
      <c r="Y20" s="13" t="s">
        <v>62</v>
      </c>
      <c r="Z20" s="12"/>
      <c r="AA20" s="1" t="s">
        <v>62</v>
      </c>
      <c r="AB20" s="1" t="s">
        <v>78</v>
      </c>
      <c r="AC20" s="14" t="s">
        <v>52</v>
      </c>
      <c r="AD20" s="13" t="s">
        <v>59</v>
      </c>
      <c r="AE20" s="14" t="s">
        <v>52</v>
      </c>
      <c r="AF20" s="25"/>
      <c r="AG20" s="25"/>
      <c r="AH20" s="12"/>
      <c r="AI20" s="12"/>
      <c r="AJ20" s="12"/>
      <c r="AK20" s="12"/>
      <c r="AL20" s="12"/>
      <c r="AM20" s="12"/>
      <c r="AN20" s="12"/>
      <c r="AO20" s="69"/>
      <c r="AP20" s="69"/>
      <c r="AQ20" s="12"/>
      <c r="AR20" s="72"/>
      <c r="AS20" s="72"/>
      <c r="AT20" s="12"/>
      <c r="AU20" s="78"/>
      <c r="AV20" s="78"/>
      <c r="AW20" s="12"/>
      <c r="AX20" s="75"/>
      <c r="AY20" s="75"/>
      <c r="AZ20" s="12"/>
      <c r="BA20" s="81"/>
      <c r="BB20" s="81"/>
      <c r="BC20" s="12"/>
      <c r="BD20" s="85"/>
      <c r="BE20" s="85"/>
      <c r="BF20" s="12"/>
      <c r="BG20" s="12"/>
      <c r="BH20" s="12"/>
      <c r="BI20" s="12"/>
      <c r="BJ20" s="12"/>
      <c r="BK20" s="6" t="s">
        <v>53</v>
      </c>
    </row>
    <row r="21" spans="1:63" x14ac:dyDescent="0.2">
      <c r="A21" s="1">
        <v>18</v>
      </c>
      <c r="B21" s="12" t="s">
        <v>63</v>
      </c>
      <c r="C21" s="1" t="s">
        <v>45</v>
      </c>
      <c r="D21" s="1" t="s">
        <v>78</v>
      </c>
      <c r="E21" s="20">
        <v>24.8</v>
      </c>
      <c r="F21" s="10">
        <v>1955.7</v>
      </c>
      <c r="G21" s="10">
        <v>1994.1</v>
      </c>
      <c r="H21" s="20" t="s">
        <v>47</v>
      </c>
      <c r="I21" s="1">
        <v>1.96</v>
      </c>
      <c r="J21" s="1">
        <v>2.17</v>
      </c>
      <c r="K21" s="21">
        <v>1.0289999999999999</v>
      </c>
      <c r="L21" s="21">
        <v>1.6E-2</v>
      </c>
      <c r="M21" s="10">
        <v>21.4</v>
      </c>
      <c r="N21" s="22">
        <v>16</v>
      </c>
      <c r="O21" s="18">
        <f>(M21-M20*(1-R21/100))*100/R21</f>
        <v>13.30088841187883</v>
      </c>
      <c r="P21" s="19">
        <f>(K21-K20*(1-R21/100))*100/R21</f>
        <v>1.0208365560919168</v>
      </c>
      <c r="Q21" s="23">
        <v>12.6</v>
      </c>
      <c r="R21" s="24">
        <v>94.4</v>
      </c>
      <c r="S21" s="22">
        <v>23</v>
      </c>
      <c r="T21" s="22">
        <v>17.5</v>
      </c>
      <c r="U21" s="1">
        <f t="shared" si="0"/>
        <v>5.5</v>
      </c>
      <c r="V21" s="1" t="s">
        <v>48</v>
      </c>
      <c r="W21" s="1" t="s">
        <v>56</v>
      </c>
      <c r="X21" s="12" t="s">
        <v>79</v>
      </c>
      <c r="Y21" s="13" t="s">
        <v>62</v>
      </c>
      <c r="Z21" s="12"/>
      <c r="AA21" s="1" t="s">
        <v>62</v>
      </c>
      <c r="AB21" s="1" t="s">
        <v>78</v>
      </c>
      <c r="AC21" s="14" t="s">
        <v>52</v>
      </c>
      <c r="AD21" s="13" t="s">
        <v>59</v>
      </c>
      <c r="AE21" s="14" t="s">
        <v>52</v>
      </c>
      <c r="AF21" s="25"/>
      <c r="AG21" s="25"/>
      <c r="AH21" s="12"/>
      <c r="AI21" s="12"/>
      <c r="AJ21" s="12"/>
      <c r="AK21" s="12"/>
      <c r="AL21" s="12"/>
      <c r="AM21" s="12"/>
      <c r="AN21" s="12"/>
      <c r="AO21" s="69"/>
      <c r="AP21" s="69"/>
      <c r="AQ21" s="12"/>
      <c r="AR21" s="72"/>
      <c r="AS21" s="72"/>
      <c r="AT21" s="12"/>
      <c r="AU21" s="78"/>
      <c r="AV21" s="78"/>
      <c r="AW21" s="12"/>
      <c r="AX21" s="75"/>
      <c r="AY21" s="75"/>
      <c r="AZ21" s="12"/>
      <c r="BA21" s="81"/>
      <c r="BB21" s="81"/>
      <c r="BC21" s="12"/>
      <c r="BD21" s="85"/>
      <c r="BE21" s="85"/>
      <c r="BF21" s="12"/>
      <c r="BG21" s="12"/>
      <c r="BH21" s="12"/>
      <c r="BI21" s="12"/>
      <c r="BJ21" s="12"/>
      <c r="BK21" s="6" t="s">
        <v>53</v>
      </c>
    </row>
    <row r="22" spans="1:63" x14ac:dyDescent="0.2">
      <c r="A22" s="1">
        <v>19</v>
      </c>
      <c r="B22" s="12" t="s">
        <v>63</v>
      </c>
      <c r="C22" s="1" t="s">
        <v>45</v>
      </c>
      <c r="D22" s="1" t="s">
        <v>80</v>
      </c>
      <c r="E22" s="20">
        <v>24.5</v>
      </c>
      <c r="F22" s="10">
        <v>1954</v>
      </c>
      <c r="G22" s="10">
        <v>1996.1</v>
      </c>
      <c r="H22" s="20" t="s">
        <v>47</v>
      </c>
      <c r="I22" s="1">
        <v>1.93</v>
      </c>
      <c r="J22" s="1">
        <v>2.16</v>
      </c>
      <c r="K22" s="21">
        <v>1.0572999999999999</v>
      </c>
      <c r="L22" s="21">
        <v>2.0799999999999999E-2</v>
      </c>
      <c r="M22" s="10">
        <v>49.5</v>
      </c>
      <c r="N22" s="22">
        <v>20.8</v>
      </c>
      <c r="O22" s="10">
        <v>49.5</v>
      </c>
      <c r="P22" s="66">
        <f>(K22-1.126151652*(1-R22/100))*100/R22</f>
        <v>1.0541310955146443</v>
      </c>
      <c r="Q22" s="23">
        <v>5.2</v>
      </c>
      <c r="R22" s="24">
        <v>95.6</v>
      </c>
      <c r="S22" s="22">
        <v>7.3</v>
      </c>
      <c r="T22" s="22">
        <v>6.6</v>
      </c>
      <c r="U22" s="1">
        <f t="shared" si="0"/>
        <v>0.70000000000000018</v>
      </c>
      <c r="V22" s="1" t="s">
        <v>48</v>
      </c>
      <c r="W22" s="1" t="s">
        <v>56</v>
      </c>
      <c r="X22" s="12" t="s">
        <v>81</v>
      </c>
      <c r="Y22" s="13" t="s">
        <v>62</v>
      </c>
      <c r="Z22" s="12"/>
      <c r="AA22" s="1" t="s">
        <v>62</v>
      </c>
      <c r="AB22" s="1" t="s">
        <v>80</v>
      </c>
      <c r="AC22" s="14" t="s">
        <v>52</v>
      </c>
      <c r="AD22" s="13" t="s">
        <v>59</v>
      </c>
      <c r="AE22" s="14" t="s">
        <v>52</v>
      </c>
      <c r="AF22" s="25"/>
      <c r="AG22" s="25"/>
      <c r="AH22" s="12"/>
      <c r="AI22" s="12"/>
      <c r="AJ22" s="12"/>
      <c r="AK22" s="12"/>
      <c r="AL22" s="12"/>
      <c r="AM22" s="12"/>
      <c r="AN22" s="12"/>
      <c r="AO22" s="69"/>
      <c r="AP22" s="69"/>
      <c r="AQ22" s="12"/>
      <c r="AR22" s="72"/>
      <c r="AS22" s="72"/>
      <c r="AT22" s="12"/>
      <c r="AU22" s="78"/>
      <c r="AV22" s="78"/>
      <c r="AW22" s="12"/>
      <c r="AX22" s="75"/>
      <c r="AY22" s="75"/>
      <c r="AZ22" s="12"/>
      <c r="BA22" s="81"/>
      <c r="BB22" s="81"/>
      <c r="BC22" s="12"/>
      <c r="BD22" s="85"/>
      <c r="BE22" s="85"/>
      <c r="BF22" s="12"/>
      <c r="BG22" s="12"/>
      <c r="BH22" s="12"/>
      <c r="BI22" s="12"/>
      <c r="BJ22" s="12"/>
      <c r="BK22" s="6" t="s">
        <v>53</v>
      </c>
    </row>
    <row r="23" spans="1:63" x14ac:dyDescent="0.2">
      <c r="A23" s="1">
        <v>20</v>
      </c>
      <c r="B23" s="12" t="s">
        <v>63</v>
      </c>
      <c r="C23" s="1" t="s">
        <v>54</v>
      </c>
      <c r="D23" s="1" t="s">
        <v>82</v>
      </c>
      <c r="E23" s="20">
        <v>23.96</v>
      </c>
      <c r="F23" s="10">
        <v>1945.3</v>
      </c>
      <c r="G23" s="10">
        <v>1996.6</v>
      </c>
      <c r="H23" s="20" t="s">
        <v>47</v>
      </c>
      <c r="I23" s="1">
        <v>2</v>
      </c>
      <c r="J23" s="1">
        <v>2.2999999999999998</v>
      </c>
      <c r="K23" s="21">
        <v>1.0956999999999999</v>
      </c>
      <c r="L23" s="21">
        <v>1.12E-2</v>
      </c>
      <c r="M23" s="10">
        <v>87.6</v>
      </c>
      <c r="N23" s="22">
        <v>11.2</v>
      </c>
      <c r="O23" s="10">
        <v>87.6</v>
      </c>
      <c r="P23" s="26">
        <v>1.0956999999999999</v>
      </c>
      <c r="Q23" s="23">
        <v>110.5</v>
      </c>
      <c r="R23" s="8">
        <v>100</v>
      </c>
      <c r="S23" s="22">
        <v>51.4</v>
      </c>
      <c r="T23" s="22">
        <v>37.200000000000003</v>
      </c>
      <c r="U23" s="1">
        <f t="shared" si="0"/>
        <v>14.199999999999996</v>
      </c>
      <c r="V23" s="1" t="s">
        <v>48</v>
      </c>
      <c r="W23" s="1" t="s">
        <v>49</v>
      </c>
      <c r="X23" s="12" t="s">
        <v>83</v>
      </c>
      <c r="Y23" s="13" t="s">
        <v>62</v>
      </c>
      <c r="Z23" s="12"/>
      <c r="AA23" s="1" t="s">
        <v>62</v>
      </c>
      <c r="AB23" s="1" t="s">
        <v>82</v>
      </c>
      <c r="AC23" s="14" t="s">
        <v>52</v>
      </c>
      <c r="AD23" s="13" t="s">
        <v>59</v>
      </c>
      <c r="AE23" s="14" t="s">
        <v>52</v>
      </c>
      <c r="AF23" s="25"/>
      <c r="AG23" s="25"/>
      <c r="AH23" s="12"/>
      <c r="AI23" s="12"/>
      <c r="AJ23" s="12"/>
      <c r="AK23" s="12"/>
      <c r="AL23" s="12"/>
      <c r="AM23" s="12"/>
      <c r="AN23" s="12"/>
      <c r="AO23" s="69"/>
      <c r="AP23" s="69"/>
      <c r="AQ23" s="12"/>
      <c r="AR23" s="72"/>
      <c r="AS23" s="72"/>
      <c r="AT23" s="12"/>
      <c r="AU23" s="78"/>
      <c r="AV23" s="78"/>
      <c r="AW23" s="12"/>
      <c r="AX23" s="75"/>
      <c r="AY23" s="75"/>
      <c r="AZ23" s="12"/>
      <c r="BA23" s="81"/>
      <c r="BB23" s="81"/>
      <c r="BC23" s="12"/>
      <c r="BD23" s="85"/>
      <c r="BE23" s="85"/>
      <c r="BF23" s="12"/>
      <c r="BG23" s="12"/>
      <c r="BH23" s="12"/>
      <c r="BI23" s="12"/>
      <c r="BJ23" s="12"/>
      <c r="BK23" s="6" t="s">
        <v>53</v>
      </c>
    </row>
    <row r="24" spans="1:63" x14ac:dyDescent="0.2">
      <c r="A24" s="1">
        <v>21</v>
      </c>
      <c r="B24" s="12" t="s">
        <v>63</v>
      </c>
      <c r="C24" s="1" t="s">
        <v>45</v>
      </c>
      <c r="D24" s="1" t="s">
        <v>82</v>
      </c>
      <c r="E24" s="20">
        <v>23.96</v>
      </c>
      <c r="F24" s="10">
        <v>1945.3</v>
      </c>
      <c r="G24" s="10">
        <v>1996.6</v>
      </c>
      <c r="H24" s="20" t="s">
        <v>47</v>
      </c>
      <c r="I24" s="1">
        <v>1.94</v>
      </c>
      <c r="J24" s="1">
        <v>2.09</v>
      </c>
      <c r="K24" s="21">
        <v>1.0464</v>
      </c>
      <c r="L24" s="21">
        <v>1.78E-2</v>
      </c>
      <c r="M24" s="10">
        <v>38.700000000000003</v>
      </c>
      <c r="N24" s="22">
        <v>17.8</v>
      </c>
      <c r="O24" s="18">
        <f>(M24-M23*(1-R24/100))*100/R24</f>
        <v>36.662500000000001</v>
      </c>
      <c r="P24" s="19">
        <f>(K24-K23*(1-R24/100))*100/R24</f>
        <v>1.0443458333333333</v>
      </c>
      <c r="Q24" s="23">
        <v>14.6</v>
      </c>
      <c r="R24" s="24">
        <v>96</v>
      </c>
      <c r="S24" s="22">
        <v>14.7</v>
      </c>
      <c r="T24" s="22">
        <v>12.8</v>
      </c>
      <c r="U24" s="1">
        <f t="shared" si="0"/>
        <v>1.8999999999999986</v>
      </c>
      <c r="V24" s="1" t="s">
        <v>48</v>
      </c>
      <c r="W24" s="1" t="s">
        <v>49</v>
      </c>
      <c r="X24" s="12" t="s">
        <v>83</v>
      </c>
      <c r="Y24" s="13" t="s">
        <v>62</v>
      </c>
      <c r="Z24" s="12"/>
      <c r="AA24" s="1" t="s">
        <v>62</v>
      </c>
      <c r="AB24" s="1" t="s">
        <v>82</v>
      </c>
      <c r="AC24" s="14" t="s">
        <v>52</v>
      </c>
      <c r="AD24" s="13" t="s">
        <v>59</v>
      </c>
      <c r="AE24" s="14" t="s">
        <v>52</v>
      </c>
      <c r="AF24" s="25"/>
      <c r="AG24" s="25"/>
      <c r="AH24" s="12"/>
      <c r="AI24" s="12"/>
      <c r="AJ24" s="12"/>
      <c r="AK24" s="12"/>
      <c r="AL24" s="12"/>
      <c r="AM24" s="12"/>
      <c r="AN24" s="12"/>
      <c r="AO24" s="69"/>
      <c r="AP24" s="69"/>
      <c r="AQ24" s="12"/>
      <c r="AR24" s="72"/>
      <c r="AS24" s="72"/>
      <c r="AT24" s="12"/>
      <c r="AU24" s="78"/>
      <c r="AV24" s="78"/>
      <c r="AW24" s="12"/>
      <c r="AX24" s="75"/>
      <c r="AY24" s="75"/>
      <c r="AZ24" s="12"/>
      <c r="BA24" s="81"/>
      <c r="BB24" s="81"/>
      <c r="BC24" s="12"/>
      <c r="BD24" s="85"/>
      <c r="BE24" s="85"/>
      <c r="BF24" s="12"/>
      <c r="BG24" s="12"/>
      <c r="BH24" s="12"/>
      <c r="BI24" s="12"/>
      <c r="BJ24" s="12"/>
      <c r="BK24" s="6" t="s">
        <v>53</v>
      </c>
    </row>
    <row r="25" spans="1:63" x14ac:dyDescent="0.2">
      <c r="A25" s="1">
        <v>22</v>
      </c>
      <c r="B25" s="5" t="s">
        <v>44</v>
      </c>
      <c r="C25" s="1" t="s">
        <v>54</v>
      </c>
      <c r="D25" s="5" t="s">
        <v>84</v>
      </c>
      <c r="E25" s="9">
        <v>33.200000000000003</v>
      </c>
      <c r="F25" s="10">
        <v>1947.4</v>
      </c>
      <c r="G25" s="10">
        <v>1997</v>
      </c>
      <c r="H25" s="11" t="s">
        <v>47</v>
      </c>
      <c r="I25" s="1">
        <v>2.0099999999999998</v>
      </c>
      <c r="J25" s="1">
        <v>2.2799999999999998</v>
      </c>
      <c r="K25" s="1">
        <v>1.1293266339649142</v>
      </c>
      <c r="L25" s="1">
        <v>1.38E-2</v>
      </c>
      <c r="M25" s="11">
        <v>120.91973594532423</v>
      </c>
      <c r="N25" s="1">
        <v>13.799999999999999</v>
      </c>
      <c r="O25" s="11">
        <v>120.91973594532423</v>
      </c>
      <c r="P25" s="16">
        <v>1.1293266339649142</v>
      </c>
      <c r="Q25" s="6">
        <v>59.7</v>
      </c>
      <c r="R25" s="8">
        <v>100</v>
      </c>
      <c r="S25" s="1">
        <v>92.2</v>
      </c>
      <c r="T25" s="1">
        <v>45.065403698691924</v>
      </c>
      <c r="U25" s="1">
        <f t="shared" si="0"/>
        <v>47.134596301308079</v>
      </c>
      <c r="V25" s="1" t="s">
        <v>48</v>
      </c>
      <c r="W25" s="1" t="s">
        <v>49</v>
      </c>
      <c r="X25" s="12" t="s">
        <v>85</v>
      </c>
      <c r="Y25" s="13" t="s">
        <v>62</v>
      </c>
      <c r="Z25" s="12"/>
      <c r="AA25" s="1" t="s">
        <v>62</v>
      </c>
      <c r="AB25" s="5" t="s">
        <v>84</v>
      </c>
      <c r="AC25" s="14" t="s">
        <v>52</v>
      </c>
      <c r="AD25" s="13" t="s">
        <v>59</v>
      </c>
      <c r="AE25" s="14" t="s">
        <v>52</v>
      </c>
      <c r="AF25" s="13"/>
      <c r="AG25" s="13"/>
      <c r="BK25" s="6" t="s">
        <v>53</v>
      </c>
    </row>
    <row r="26" spans="1:63" x14ac:dyDescent="0.2">
      <c r="A26" s="1">
        <v>23</v>
      </c>
      <c r="B26" s="5" t="s">
        <v>44</v>
      </c>
      <c r="C26" s="1" t="s">
        <v>45</v>
      </c>
      <c r="D26" s="5" t="s">
        <v>84</v>
      </c>
      <c r="E26" s="9">
        <v>33.200000000000003</v>
      </c>
      <c r="F26" s="10">
        <v>1947.4</v>
      </c>
      <c r="G26" s="10">
        <v>1997</v>
      </c>
      <c r="H26" s="11" t="s">
        <v>47</v>
      </c>
      <c r="I26" s="1">
        <v>2</v>
      </c>
      <c r="J26" s="1">
        <v>2.1800000000000002</v>
      </c>
      <c r="K26" s="1">
        <v>1.0508805265603913</v>
      </c>
      <c r="L26" s="1">
        <v>1.54E-2</v>
      </c>
      <c r="M26" s="11">
        <v>43.057594600884656</v>
      </c>
      <c r="N26" s="1">
        <v>15.4</v>
      </c>
      <c r="O26" s="18">
        <f>(M26-M25*(1-R26/100))*100/R26</f>
        <v>41.630386307402048</v>
      </c>
      <c r="P26" s="19">
        <f>(K26-K25*(1-R26/100))*100/R26</f>
        <v>1.0494426142047077</v>
      </c>
      <c r="Q26" s="6">
        <v>10.3</v>
      </c>
      <c r="R26" s="8">
        <v>98.2</v>
      </c>
      <c r="S26" s="1">
        <v>47.2</v>
      </c>
      <c r="T26" s="1">
        <v>19.219666215606676</v>
      </c>
      <c r="U26" s="1">
        <f t="shared" si="0"/>
        <v>27.980333784393327</v>
      </c>
      <c r="V26" s="1" t="s">
        <v>48</v>
      </c>
      <c r="W26" s="1" t="s">
        <v>49</v>
      </c>
      <c r="X26" s="12" t="s">
        <v>85</v>
      </c>
      <c r="Y26" s="13" t="s">
        <v>62</v>
      </c>
      <c r="Z26" s="12"/>
      <c r="AA26" s="1" t="s">
        <v>62</v>
      </c>
      <c r="AB26" s="5" t="s">
        <v>84</v>
      </c>
      <c r="AC26" s="14" t="s">
        <v>52</v>
      </c>
      <c r="AD26" s="13" t="s">
        <v>59</v>
      </c>
      <c r="AE26" s="14" t="s">
        <v>52</v>
      </c>
      <c r="AF26" s="14"/>
      <c r="AG26" s="14"/>
      <c r="AH26" s="6"/>
      <c r="AI26" s="6"/>
      <c r="AJ26" s="6"/>
      <c r="AK26" s="6"/>
      <c r="AL26" s="6"/>
      <c r="AM26" s="6"/>
      <c r="AN26" s="6"/>
      <c r="AO26" s="68"/>
      <c r="AP26" s="68"/>
      <c r="AQ26" s="6"/>
      <c r="AR26" s="71"/>
      <c r="AS26" s="71"/>
      <c r="AT26" s="6"/>
      <c r="AU26" s="77"/>
      <c r="AV26" s="77"/>
      <c r="AW26" s="6"/>
      <c r="AX26" s="74"/>
      <c r="AY26" s="74"/>
      <c r="AZ26" s="6"/>
      <c r="BA26" s="80"/>
      <c r="BB26" s="80"/>
      <c r="BC26" s="6"/>
      <c r="BD26" s="84"/>
      <c r="BE26" s="84"/>
      <c r="BF26" s="6"/>
      <c r="BG26" s="6"/>
      <c r="BH26" s="6"/>
      <c r="BI26" s="6"/>
      <c r="BJ26" s="6"/>
      <c r="BK26" s="6" t="s">
        <v>53</v>
      </c>
    </row>
    <row r="27" spans="1:63" x14ac:dyDescent="0.2">
      <c r="A27" s="1">
        <v>24</v>
      </c>
      <c r="B27" s="5" t="s">
        <v>44</v>
      </c>
      <c r="C27" s="1" t="s">
        <v>45</v>
      </c>
      <c r="D27" s="5" t="s">
        <v>86</v>
      </c>
      <c r="E27" s="9">
        <v>32.9</v>
      </c>
      <c r="F27" s="10">
        <v>1951.3</v>
      </c>
      <c r="G27" s="10">
        <v>1997.1</v>
      </c>
      <c r="H27" s="11" t="s">
        <v>47</v>
      </c>
      <c r="I27" s="1">
        <v>1.89</v>
      </c>
      <c r="J27" s="1">
        <v>2.36</v>
      </c>
      <c r="K27" s="1">
        <v>1.0134103087956436</v>
      </c>
      <c r="L27" s="1">
        <v>2.2799999999999997E-2</v>
      </c>
      <c r="M27" s="11">
        <v>5.8663114596959609</v>
      </c>
      <c r="N27" s="1">
        <v>22.799999999999997</v>
      </c>
      <c r="O27" s="11">
        <v>5.8663114596959609</v>
      </c>
      <c r="P27" s="66">
        <f>(K27-1.119942621*(1-R27/100))*100/R27</f>
        <v>1.0112361799751466</v>
      </c>
      <c r="Q27" s="6">
        <v>4.59</v>
      </c>
      <c r="R27" s="8">
        <v>98</v>
      </c>
      <c r="S27" s="1">
        <v>6.7</v>
      </c>
      <c r="T27" s="1">
        <v>6.6627469426152386</v>
      </c>
      <c r="U27" s="1">
        <f t="shared" si="0"/>
        <v>3.725305738476159E-2</v>
      </c>
      <c r="V27" s="1" t="s">
        <v>48</v>
      </c>
      <c r="W27" s="1" t="s">
        <v>49</v>
      </c>
      <c r="X27" s="12" t="s">
        <v>87</v>
      </c>
      <c r="Y27" s="13" t="s">
        <v>62</v>
      </c>
      <c r="Z27" s="12"/>
      <c r="AA27" s="1" t="s">
        <v>62</v>
      </c>
      <c r="AB27" s="5" t="s">
        <v>86</v>
      </c>
      <c r="AC27" s="14" t="s">
        <v>52</v>
      </c>
      <c r="AD27" s="13" t="s">
        <v>59</v>
      </c>
      <c r="AE27" s="14" t="s">
        <v>52</v>
      </c>
      <c r="AF27" s="14"/>
      <c r="AG27" s="14"/>
      <c r="AH27" s="6"/>
      <c r="AI27" s="6"/>
      <c r="AJ27" s="6"/>
      <c r="AK27" s="6"/>
      <c r="AL27" s="6"/>
      <c r="AM27" s="6"/>
      <c r="AN27" s="6"/>
      <c r="AO27" s="68"/>
      <c r="AP27" s="68"/>
      <c r="AQ27" s="6"/>
      <c r="AR27" s="71"/>
      <c r="AS27" s="71"/>
      <c r="AT27" s="6"/>
      <c r="AU27" s="77"/>
      <c r="AV27" s="77"/>
      <c r="AW27" s="6"/>
      <c r="AX27" s="74"/>
      <c r="AY27" s="74"/>
      <c r="AZ27" s="6"/>
      <c r="BA27" s="80"/>
      <c r="BB27" s="80"/>
      <c r="BC27" s="6"/>
      <c r="BD27" s="84"/>
      <c r="BE27" s="84"/>
      <c r="BF27" s="6"/>
      <c r="BG27" s="6"/>
      <c r="BH27" s="6"/>
      <c r="BI27" s="6"/>
      <c r="BJ27" s="6"/>
      <c r="BK27" s="6" t="s">
        <v>53</v>
      </c>
    </row>
    <row r="28" spans="1:63" x14ac:dyDescent="0.2">
      <c r="A28" s="1">
        <v>25</v>
      </c>
      <c r="B28" s="12" t="s">
        <v>63</v>
      </c>
      <c r="C28" s="1" t="s">
        <v>54</v>
      </c>
      <c r="D28" s="1" t="s">
        <v>88</v>
      </c>
      <c r="E28" s="20">
        <v>31.7</v>
      </c>
      <c r="F28" s="10">
        <v>1953</v>
      </c>
      <c r="G28" s="10">
        <v>1997.6</v>
      </c>
      <c r="H28" s="20" t="s">
        <v>47</v>
      </c>
      <c r="I28" s="1">
        <v>2.02</v>
      </c>
      <c r="J28" s="1">
        <v>2.23</v>
      </c>
      <c r="K28" s="21">
        <v>1.1297999999999999</v>
      </c>
      <c r="L28" s="21">
        <v>1.46E-2</v>
      </c>
      <c r="M28" s="10">
        <v>121.4</v>
      </c>
      <c r="N28" s="22">
        <v>14.6</v>
      </c>
      <c r="O28" s="10">
        <v>121.4</v>
      </c>
      <c r="P28" s="26">
        <v>1.1297999999999999</v>
      </c>
      <c r="Q28" s="23">
        <v>42</v>
      </c>
      <c r="R28" s="8">
        <v>100</v>
      </c>
      <c r="S28" s="22">
        <v>89.4</v>
      </c>
      <c r="T28" s="22">
        <v>64.099999999999994</v>
      </c>
      <c r="U28" s="1">
        <f t="shared" si="0"/>
        <v>25.300000000000011</v>
      </c>
      <c r="V28" s="1" t="s">
        <v>48</v>
      </c>
      <c r="W28" s="1" t="s">
        <v>56</v>
      </c>
      <c r="X28" s="12" t="s">
        <v>89</v>
      </c>
      <c r="Y28" s="13" t="s">
        <v>62</v>
      </c>
      <c r="Z28" s="12"/>
      <c r="AA28" s="1" t="s">
        <v>62</v>
      </c>
      <c r="AB28" s="1" t="s">
        <v>88</v>
      </c>
      <c r="AC28" s="14" t="s">
        <v>52</v>
      </c>
      <c r="AD28" s="13" t="s">
        <v>59</v>
      </c>
      <c r="AE28" s="14" t="s">
        <v>52</v>
      </c>
      <c r="AF28" s="25"/>
      <c r="AG28" s="25"/>
      <c r="AH28" s="12"/>
      <c r="AI28" s="12"/>
      <c r="AJ28" s="12"/>
      <c r="AK28" s="12"/>
      <c r="AL28" s="12"/>
      <c r="AM28" s="12"/>
      <c r="AN28" s="12"/>
      <c r="AO28" s="69"/>
      <c r="AP28" s="69"/>
      <c r="AQ28" s="12"/>
      <c r="AR28" s="72"/>
      <c r="AS28" s="72"/>
      <c r="AT28" s="12"/>
      <c r="AU28" s="78"/>
      <c r="AV28" s="78"/>
      <c r="AW28" s="12"/>
      <c r="AX28" s="75"/>
      <c r="AY28" s="75"/>
      <c r="AZ28" s="12"/>
      <c r="BA28" s="81"/>
      <c r="BB28" s="81"/>
      <c r="BC28" s="12"/>
      <c r="BD28" s="85"/>
      <c r="BE28" s="85"/>
      <c r="BF28" s="12"/>
      <c r="BG28" s="12"/>
      <c r="BH28" s="12"/>
      <c r="BI28" s="12"/>
      <c r="BJ28" s="12"/>
      <c r="BK28" s="6" t="s">
        <v>53</v>
      </c>
    </row>
    <row r="29" spans="1:63" x14ac:dyDescent="0.2">
      <c r="A29" s="1">
        <v>26</v>
      </c>
      <c r="B29" s="12" t="s">
        <v>63</v>
      </c>
      <c r="C29" s="1" t="s">
        <v>45</v>
      </c>
      <c r="D29" s="1" t="s">
        <v>88</v>
      </c>
      <c r="E29" s="20">
        <v>31.7</v>
      </c>
      <c r="F29" s="10">
        <v>1953</v>
      </c>
      <c r="G29" s="10">
        <v>1997.6</v>
      </c>
      <c r="H29" s="20" t="s">
        <v>47</v>
      </c>
      <c r="I29" s="1">
        <v>1.97</v>
      </c>
      <c r="J29" s="1">
        <v>2.09</v>
      </c>
      <c r="K29" s="21">
        <v>1.028</v>
      </c>
      <c r="L29" s="21">
        <v>1.38E-2</v>
      </c>
      <c r="M29" s="10">
        <v>20.399999999999999</v>
      </c>
      <c r="N29" s="22">
        <v>13.8</v>
      </c>
      <c r="O29" s="18">
        <f>(M29-M28*(1-R29/100))*100/R29</f>
        <v>18.33877551020408</v>
      </c>
      <c r="P29" s="19">
        <f>(K29-K28*(1-R29/100))*100/R29</f>
        <v>1.0259224489795917</v>
      </c>
      <c r="Q29" s="23">
        <v>8.8000000000000007</v>
      </c>
      <c r="R29" s="24">
        <v>98</v>
      </c>
      <c r="S29" s="22">
        <v>23</v>
      </c>
      <c r="T29" s="22">
        <v>19.899999999999999</v>
      </c>
      <c r="U29" s="1">
        <f t="shared" si="0"/>
        <v>3.1000000000000014</v>
      </c>
      <c r="V29" s="1" t="s">
        <v>48</v>
      </c>
      <c r="W29" s="1" t="s">
        <v>56</v>
      </c>
      <c r="X29" s="12" t="s">
        <v>89</v>
      </c>
      <c r="Y29" s="13" t="s">
        <v>62</v>
      </c>
      <c r="Z29" s="12"/>
      <c r="AA29" s="1" t="s">
        <v>62</v>
      </c>
      <c r="AB29" s="1" t="s">
        <v>88</v>
      </c>
      <c r="AC29" s="14" t="s">
        <v>52</v>
      </c>
      <c r="AD29" s="13" t="s">
        <v>59</v>
      </c>
      <c r="AE29" s="14" t="s">
        <v>52</v>
      </c>
      <c r="AF29" s="25"/>
      <c r="AG29" s="25"/>
      <c r="AH29" s="12"/>
      <c r="AI29" s="12"/>
      <c r="AJ29" s="12"/>
      <c r="AK29" s="12"/>
      <c r="AL29" s="12"/>
      <c r="AM29" s="12"/>
      <c r="AN29" s="12"/>
      <c r="AO29" s="69"/>
      <c r="AP29" s="69"/>
      <c r="AQ29" s="12"/>
      <c r="AR29" s="72"/>
      <c r="AS29" s="72"/>
      <c r="AT29" s="12"/>
      <c r="AU29" s="78"/>
      <c r="AV29" s="78"/>
      <c r="AW29" s="12"/>
      <c r="AX29" s="75"/>
      <c r="AY29" s="75"/>
      <c r="AZ29" s="12"/>
      <c r="BA29" s="81"/>
      <c r="BB29" s="81"/>
      <c r="BC29" s="12"/>
      <c r="BD29" s="85"/>
      <c r="BE29" s="85"/>
      <c r="BF29" s="12"/>
      <c r="BG29" s="12"/>
      <c r="BH29" s="12"/>
      <c r="BI29" s="12"/>
      <c r="BJ29" s="12"/>
      <c r="BK29" s="6" t="s">
        <v>53</v>
      </c>
    </row>
    <row r="30" spans="1:63" x14ac:dyDescent="0.2">
      <c r="A30" s="1">
        <v>27</v>
      </c>
      <c r="B30" s="5" t="s">
        <v>44</v>
      </c>
      <c r="C30" s="1" t="s">
        <v>54</v>
      </c>
      <c r="D30" s="5" t="s">
        <v>90</v>
      </c>
      <c r="E30" s="9">
        <v>26.5</v>
      </c>
      <c r="F30" s="10">
        <v>1955.4</v>
      </c>
      <c r="G30" s="10">
        <v>2004</v>
      </c>
      <c r="H30" s="11" t="s">
        <v>47</v>
      </c>
      <c r="I30" s="1">
        <v>1.95</v>
      </c>
      <c r="J30" s="1">
        <v>2.23</v>
      </c>
      <c r="K30" s="1">
        <v>1.0569</v>
      </c>
      <c r="L30" s="1">
        <v>2.0799999999999999E-2</v>
      </c>
      <c r="M30" s="11">
        <v>49.1</v>
      </c>
      <c r="N30" s="1">
        <v>21</v>
      </c>
      <c r="O30" s="11">
        <v>49.1</v>
      </c>
      <c r="P30" s="16">
        <v>1.0569</v>
      </c>
      <c r="Q30" s="1">
        <v>65.27</v>
      </c>
      <c r="R30" s="8">
        <v>100</v>
      </c>
      <c r="S30" s="1">
        <v>6.833333333333333</v>
      </c>
      <c r="T30" s="17">
        <v>6.1923800564440263</v>
      </c>
      <c r="U30" s="1">
        <f t="shared" si="0"/>
        <v>0.6409532768893067</v>
      </c>
      <c r="V30" s="1" t="s">
        <v>48</v>
      </c>
      <c r="W30" s="1" t="s">
        <v>49</v>
      </c>
      <c r="X30" s="12"/>
      <c r="Y30" s="13" t="s">
        <v>62</v>
      </c>
      <c r="Z30" s="12"/>
      <c r="AA30" s="1" t="s">
        <v>62</v>
      </c>
      <c r="AB30" s="5" t="s">
        <v>90</v>
      </c>
      <c r="AC30" s="14" t="s">
        <v>52</v>
      </c>
      <c r="AD30" s="13" t="s">
        <v>59</v>
      </c>
      <c r="AE30" s="14" t="s">
        <v>52</v>
      </c>
      <c r="AF30" s="13"/>
      <c r="AG30" s="13"/>
      <c r="BK30" s="6" t="s">
        <v>53</v>
      </c>
    </row>
    <row r="31" spans="1:63" x14ac:dyDescent="0.2">
      <c r="A31" s="1">
        <v>28</v>
      </c>
      <c r="B31" s="5" t="s">
        <v>44</v>
      </c>
      <c r="C31" s="1" t="s">
        <v>45</v>
      </c>
      <c r="D31" s="5" t="s">
        <v>90</v>
      </c>
      <c r="E31" s="9">
        <v>26.5</v>
      </c>
      <c r="F31" s="10">
        <v>1955.4</v>
      </c>
      <c r="G31" s="10">
        <v>2004</v>
      </c>
      <c r="H31" s="11" t="s">
        <v>47</v>
      </c>
      <c r="I31" s="1">
        <v>2.02</v>
      </c>
      <c r="J31" s="1">
        <v>2.29</v>
      </c>
      <c r="K31" s="1">
        <v>1.034</v>
      </c>
      <c r="L31" s="1">
        <v>1.4999999999999999E-2</v>
      </c>
      <c r="M31" s="11">
        <v>26.3</v>
      </c>
      <c r="N31" s="1">
        <v>15</v>
      </c>
      <c r="O31" s="18">
        <f>(M31-M30*(1-R31/100))*100/R31</f>
        <v>25.81092951991829</v>
      </c>
      <c r="P31" s="19">
        <f>(K31-K30*(1-R31/100))*100/R31</f>
        <v>1.033508784473953</v>
      </c>
      <c r="Q31" s="1">
        <v>16.37</v>
      </c>
      <c r="R31" s="31">
        <v>97.9</v>
      </c>
      <c r="S31" s="1">
        <v>23.25</v>
      </c>
      <c r="T31" s="17">
        <v>17.911592241768155</v>
      </c>
      <c r="U31" s="1">
        <f t="shared" si="0"/>
        <v>5.3384077582318454</v>
      </c>
      <c r="V31" s="1" t="s">
        <v>48</v>
      </c>
      <c r="W31" s="1" t="s">
        <v>49</v>
      </c>
      <c r="X31" s="12"/>
      <c r="Y31" s="13" t="s">
        <v>62</v>
      </c>
      <c r="Z31" s="12"/>
      <c r="AA31" s="1" t="s">
        <v>62</v>
      </c>
      <c r="AB31" s="5" t="s">
        <v>90</v>
      </c>
      <c r="AC31" s="14" t="s">
        <v>52</v>
      </c>
      <c r="AD31" s="13" t="s">
        <v>59</v>
      </c>
      <c r="AE31" s="14" t="s">
        <v>52</v>
      </c>
      <c r="AF31" s="14"/>
      <c r="AG31" s="14"/>
      <c r="AH31" s="6"/>
      <c r="AI31" s="6"/>
      <c r="AJ31" s="6"/>
      <c r="AK31" s="6"/>
      <c r="AL31" s="6"/>
      <c r="AM31" s="6"/>
      <c r="AN31" s="6"/>
      <c r="AO31" s="68"/>
      <c r="AP31" s="68"/>
      <c r="AQ31" s="6"/>
      <c r="AR31" s="71"/>
      <c r="AS31" s="71"/>
      <c r="AT31" s="6"/>
      <c r="AU31" s="77"/>
      <c r="AV31" s="77"/>
      <c r="AW31" s="6"/>
      <c r="AX31" s="74"/>
      <c r="AY31" s="74"/>
      <c r="AZ31" s="6"/>
      <c r="BA31" s="80"/>
      <c r="BB31" s="80"/>
      <c r="BC31" s="6"/>
      <c r="BD31" s="84"/>
      <c r="BE31" s="84"/>
      <c r="BF31" s="6"/>
      <c r="BG31" s="6"/>
      <c r="BH31" s="6"/>
      <c r="BI31" s="6"/>
      <c r="BJ31" s="6"/>
      <c r="BK31" s="6" t="s">
        <v>53</v>
      </c>
    </row>
    <row r="32" spans="1:63" x14ac:dyDescent="0.2">
      <c r="A32" s="1">
        <v>29</v>
      </c>
      <c r="B32" s="5" t="s">
        <v>44</v>
      </c>
      <c r="C32" s="1" t="s">
        <v>54</v>
      </c>
      <c r="D32" s="5" t="s">
        <v>91</v>
      </c>
      <c r="E32" s="9">
        <v>17.7</v>
      </c>
      <c r="F32" s="10">
        <v>1954.6</v>
      </c>
      <c r="G32" s="10">
        <v>2004.6</v>
      </c>
      <c r="H32" s="11" t="s">
        <v>47</v>
      </c>
      <c r="I32" s="1">
        <v>1.91</v>
      </c>
      <c r="J32" s="1">
        <v>2.2799999999999998</v>
      </c>
      <c r="K32" s="1">
        <v>1.1108499675247792</v>
      </c>
      <c r="L32" s="1">
        <v>2.06E-2</v>
      </c>
      <c r="M32" s="11">
        <v>102.5806129278204</v>
      </c>
      <c r="N32" s="1">
        <v>20.6</v>
      </c>
      <c r="O32" s="11">
        <v>102.5806129278204</v>
      </c>
      <c r="P32" s="16">
        <v>1.1108499675247792</v>
      </c>
      <c r="Q32" s="6">
        <v>35.5</v>
      </c>
      <c r="R32" s="8">
        <v>100</v>
      </c>
      <c r="S32" s="1">
        <v>10.866666666666667</v>
      </c>
      <c r="T32" s="1">
        <v>9.7023004059539915</v>
      </c>
      <c r="U32" s="1">
        <f t="shared" si="0"/>
        <v>1.1643662607126757</v>
      </c>
      <c r="V32" s="1" t="s">
        <v>48</v>
      </c>
      <c r="W32" s="1" t="s">
        <v>49</v>
      </c>
      <c r="X32" s="12" t="s">
        <v>92</v>
      </c>
      <c r="Y32" s="13" t="s">
        <v>62</v>
      </c>
      <c r="Z32" s="12"/>
      <c r="AA32" s="1" t="s">
        <v>62</v>
      </c>
      <c r="AB32" s="5" t="s">
        <v>91</v>
      </c>
      <c r="AC32" s="14" t="s">
        <v>52</v>
      </c>
      <c r="AD32" s="13" t="s">
        <v>59</v>
      </c>
      <c r="AE32" s="14" t="s">
        <v>52</v>
      </c>
      <c r="AF32" s="13"/>
      <c r="AG32" s="13"/>
      <c r="BK32" s="6" t="s">
        <v>53</v>
      </c>
    </row>
    <row r="33" spans="1:63" x14ac:dyDescent="0.2">
      <c r="A33" s="1">
        <v>30</v>
      </c>
      <c r="B33" s="5" t="s">
        <v>44</v>
      </c>
      <c r="C33" s="1" t="s">
        <v>54</v>
      </c>
      <c r="D33" s="5" t="s">
        <v>93</v>
      </c>
      <c r="E33" s="9">
        <v>29.8</v>
      </c>
      <c r="F33" s="10">
        <v>1950.5</v>
      </c>
      <c r="G33" s="10">
        <v>2004.7</v>
      </c>
      <c r="H33" s="11" t="s">
        <v>47</v>
      </c>
      <c r="I33" s="1">
        <v>1.95</v>
      </c>
      <c r="J33" s="1">
        <v>2.39</v>
      </c>
      <c r="K33" s="1">
        <v>1.0600264505855121</v>
      </c>
      <c r="L33" s="1">
        <v>2.2599999999999999E-2</v>
      </c>
      <c r="M33" s="11">
        <v>52.135434824329693</v>
      </c>
      <c r="N33" s="1">
        <v>22.599999999999998</v>
      </c>
      <c r="O33" s="11">
        <v>52.135434824329693</v>
      </c>
      <c r="P33" s="16">
        <v>1.0600264505855121</v>
      </c>
      <c r="Q33" s="6">
        <v>5.8</v>
      </c>
      <c r="R33" s="8">
        <v>100</v>
      </c>
      <c r="S33" s="1">
        <v>9.7666666666666675</v>
      </c>
      <c r="T33" s="1">
        <v>9.1086547507055489</v>
      </c>
      <c r="U33" s="1">
        <f t="shared" si="0"/>
        <v>0.65801191596111863</v>
      </c>
      <c r="V33" s="1" t="s">
        <v>48</v>
      </c>
      <c r="W33" s="1" t="s">
        <v>59</v>
      </c>
      <c r="X33" s="12" t="s">
        <v>94</v>
      </c>
      <c r="Y33" s="13" t="s">
        <v>51</v>
      </c>
      <c r="Z33" s="12"/>
      <c r="AA33" s="12" t="s">
        <v>51</v>
      </c>
      <c r="AB33" s="5" t="s">
        <v>93</v>
      </c>
      <c r="AC33" s="14" t="s">
        <v>52</v>
      </c>
      <c r="AD33" s="13" t="s">
        <v>59</v>
      </c>
      <c r="AE33" s="13" t="s">
        <v>52</v>
      </c>
      <c r="AF33" s="13"/>
      <c r="AG33" s="13"/>
      <c r="BK33" s="6" t="s">
        <v>53</v>
      </c>
    </row>
    <row r="34" spans="1:63" x14ac:dyDescent="0.2">
      <c r="A34" s="1">
        <v>31</v>
      </c>
      <c r="B34" s="5" t="s">
        <v>44</v>
      </c>
      <c r="C34" s="1" t="s">
        <v>45</v>
      </c>
      <c r="D34" s="5" t="s">
        <v>93</v>
      </c>
      <c r="E34" s="9">
        <v>29.8</v>
      </c>
      <c r="F34" s="10">
        <v>1950.5</v>
      </c>
      <c r="G34" s="10">
        <v>2004.7</v>
      </c>
      <c r="H34" s="11" t="s">
        <v>47</v>
      </c>
      <c r="I34" s="1">
        <v>1.95</v>
      </c>
      <c r="J34" s="1">
        <v>2.38</v>
      </c>
      <c r="K34" s="1">
        <v>0.98158947697787025</v>
      </c>
      <c r="L34" s="1">
        <v>2.3E-2</v>
      </c>
      <c r="M34" s="11">
        <v>-25.717640716754197</v>
      </c>
      <c r="N34" s="1">
        <v>23</v>
      </c>
      <c r="O34" s="18">
        <f>(M34-M33*(1-R34/100))*100/R34</f>
        <v>-27.30647899310285</v>
      </c>
      <c r="P34" s="19">
        <f>(K34-K33*(1-R34/100))*100/R34</f>
        <v>0.97998872241444901</v>
      </c>
      <c r="Q34" s="6">
        <v>4.7530000000000001</v>
      </c>
      <c r="R34" s="8">
        <v>98</v>
      </c>
      <c r="S34" s="1">
        <v>8</v>
      </c>
      <c r="T34" s="1">
        <v>6.3805268109125102</v>
      </c>
      <c r="U34" s="1">
        <f t="shared" si="0"/>
        <v>1.6194731890874898</v>
      </c>
      <c r="V34" s="1" t="s">
        <v>48</v>
      </c>
      <c r="W34" s="1" t="s">
        <v>59</v>
      </c>
      <c r="X34" s="12" t="s">
        <v>94</v>
      </c>
      <c r="Y34" s="13" t="s">
        <v>51</v>
      </c>
      <c r="Z34" s="12"/>
      <c r="AA34" s="12" t="s">
        <v>51</v>
      </c>
      <c r="AB34" s="5" t="s">
        <v>93</v>
      </c>
      <c r="AC34" s="14" t="s">
        <v>52</v>
      </c>
      <c r="AD34" s="13" t="s">
        <v>59</v>
      </c>
      <c r="AE34" s="13" t="s">
        <v>52</v>
      </c>
      <c r="AF34" s="13"/>
      <c r="AG34" s="13"/>
      <c r="BK34" s="6" t="s">
        <v>53</v>
      </c>
    </row>
    <row r="35" spans="1:63" x14ac:dyDescent="0.2">
      <c r="A35" s="1">
        <v>32</v>
      </c>
      <c r="B35" s="12" t="s">
        <v>63</v>
      </c>
      <c r="C35" s="12" t="s">
        <v>54</v>
      </c>
      <c r="D35" s="1" t="s">
        <v>95</v>
      </c>
      <c r="E35" s="20">
        <v>17.600000000000001</v>
      </c>
      <c r="F35" s="10">
        <v>1959.5</v>
      </c>
      <c r="G35" s="10">
        <v>2004.8</v>
      </c>
      <c r="H35" s="20" t="s">
        <v>69</v>
      </c>
      <c r="I35" s="1">
        <v>2.0099999999999998</v>
      </c>
      <c r="J35" s="1">
        <v>2.2599999999999998</v>
      </c>
      <c r="K35" s="27">
        <v>1.2505140090675639</v>
      </c>
      <c r="L35" s="27">
        <v>1.4999999999999999E-2</v>
      </c>
      <c r="M35" s="28">
        <v>241.20497177921951</v>
      </c>
      <c r="N35" s="29">
        <v>15</v>
      </c>
      <c r="O35" s="28">
        <v>241.20497177921951</v>
      </c>
      <c r="P35" s="30">
        <v>1.2505140090675639</v>
      </c>
      <c r="Q35" s="23" t="s">
        <v>59</v>
      </c>
      <c r="R35" s="8">
        <v>100</v>
      </c>
      <c r="S35" s="22">
        <v>74.916666666666671</v>
      </c>
      <c r="T35" s="17">
        <v>56.341903473161928</v>
      </c>
      <c r="U35" s="1">
        <f t="shared" si="0"/>
        <v>18.574763193504744</v>
      </c>
      <c r="V35" s="1" t="s">
        <v>48</v>
      </c>
      <c r="W35" s="1" t="s">
        <v>49</v>
      </c>
      <c r="X35" s="12" t="s">
        <v>96</v>
      </c>
      <c r="Y35" s="13" t="s">
        <v>62</v>
      </c>
      <c r="Z35" s="12"/>
      <c r="AA35" s="1" t="s">
        <v>62</v>
      </c>
      <c r="AB35" s="1" t="s">
        <v>95</v>
      </c>
      <c r="AC35" s="14" t="s">
        <v>52</v>
      </c>
      <c r="AD35" s="25" t="s">
        <v>59</v>
      </c>
      <c r="AE35" s="25" t="s">
        <v>52</v>
      </c>
      <c r="AF35" s="25"/>
      <c r="AG35" s="25"/>
      <c r="AH35" s="12"/>
      <c r="AI35" s="12"/>
      <c r="AJ35" s="12"/>
      <c r="AK35" s="12"/>
      <c r="AL35" s="12"/>
      <c r="AM35" s="12"/>
      <c r="AN35" s="12"/>
      <c r="AO35" s="69"/>
      <c r="AP35" s="69"/>
      <c r="AQ35" s="12"/>
      <c r="AR35" s="72"/>
      <c r="AS35" s="72"/>
      <c r="AT35" s="12"/>
      <c r="AU35" s="78"/>
      <c r="AV35" s="78"/>
      <c r="AW35" s="12"/>
      <c r="AX35" s="75"/>
      <c r="AY35" s="75"/>
      <c r="AZ35" s="12"/>
      <c r="BA35" s="81"/>
      <c r="BB35" s="81"/>
      <c r="BC35" s="12"/>
      <c r="BD35" s="85"/>
      <c r="BE35" s="85"/>
      <c r="BF35" s="12"/>
      <c r="BG35" s="12"/>
      <c r="BH35" s="12"/>
      <c r="BI35" s="12"/>
      <c r="BJ35" s="12"/>
      <c r="BK35" s="6" t="s">
        <v>53</v>
      </c>
    </row>
    <row r="36" spans="1:63" x14ac:dyDescent="0.2">
      <c r="A36" s="1">
        <v>33</v>
      </c>
      <c r="B36" s="12" t="s">
        <v>63</v>
      </c>
      <c r="C36" s="1" t="s">
        <v>45</v>
      </c>
      <c r="D36" s="1" t="s">
        <v>95</v>
      </c>
      <c r="E36" s="20">
        <v>17.600000000000001</v>
      </c>
      <c r="F36" s="10">
        <v>1959.5</v>
      </c>
      <c r="G36" s="10">
        <v>2004.8</v>
      </c>
      <c r="H36" s="20" t="s">
        <v>69</v>
      </c>
      <c r="I36" s="1">
        <v>2.0099999999999998</v>
      </c>
      <c r="J36" s="1">
        <v>2.16</v>
      </c>
      <c r="K36" s="21">
        <v>1.1333</v>
      </c>
      <c r="L36" s="21">
        <v>1.2800000000000001E-2</v>
      </c>
      <c r="M36" s="10">
        <v>124.9</v>
      </c>
      <c r="N36" s="22">
        <v>12.8</v>
      </c>
      <c r="O36" s="18">
        <f>(M36-M35*(1-R36/100))*100/R36</f>
        <v>122.64740625504061</v>
      </c>
      <c r="P36" s="19">
        <f>(K36-K35*(1-R36/100))*100/R36</f>
        <v>1.131029800028253</v>
      </c>
      <c r="Q36" s="23">
        <v>14.7</v>
      </c>
      <c r="R36" s="24">
        <v>98.1</v>
      </c>
      <c r="S36" s="22">
        <v>43.3</v>
      </c>
      <c r="T36" s="22">
        <v>33.799999999999997</v>
      </c>
      <c r="U36" s="1">
        <f t="shared" si="0"/>
        <v>9.5</v>
      </c>
      <c r="V36" s="1" t="s">
        <v>48</v>
      </c>
      <c r="W36" s="1" t="s">
        <v>49</v>
      </c>
      <c r="X36" s="12" t="s">
        <v>96</v>
      </c>
      <c r="Y36" s="13" t="s">
        <v>62</v>
      </c>
      <c r="Z36" s="12"/>
      <c r="AA36" s="1" t="s">
        <v>62</v>
      </c>
      <c r="AB36" s="1" t="s">
        <v>95</v>
      </c>
      <c r="AC36" s="14" t="s">
        <v>52</v>
      </c>
      <c r="AD36" s="25" t="s">
        <v>59</v>
      </c>
      <c r="AE36" s="25" t="s">
        <v>52</v>
      </c>
      <c r="AF36" s="25"/>
      <c r="AG36" s="25"/>
      <c r="AH36" s="12"/>
      <c r="AI36" s="12"/>
      <c r="AJ36" s="12"/>
      <c r="AK36" s="12"/>
      <c r="AL36" s="12"/>
      <c r="AM36" s="12"/>
      <c r="AN36" s="12"/>
      <c r="AO36" s="69"/>
      <c r="AP36" s="69"/>
      <c r="AQ36" s="12"/>
      <c r="AR36" s="72"/>
      <c r="AS36" s="72"/>
      <c r="AT36" s="12"/>
      <c r="AU36" s="78"/>
      <c r="AV36" s="78"/>
      <c r="AW36" s="12"/>
      <c r="AX36" s="75"/>
      <c r="AY36" s="75"/>
      <c r="AZ36" s="12"/>
      <c r="BA36" s="81"/>
      <c r="BB36" s="81"/>
      <c r="BC36" s="12"/>
      <c r="BD36" s="85"/>
      <c r="BE36" s="85"/>
      <c r="BF36" s="12"/>
      <c r="BG36" s="12"/>
      <c r="BH36" s="12"/>
      <c r="BI36" s="12"/>
      <c r="BJ36" s="12"/>
      <c r="BK36" s="6" t="s">
        <v>53</v>
      </c>
    </row>
    <row r="37" spans="1:63" x14ac:dyDescent="0.2">
      <c r="A37" s="1">
        <v>34</v>
      </c>
      <c r="B37" s="5" t="s">
        <v>44</v>
      </c>
      <c r="C37" s="1" t="s">
        <v>54</v>
      </c>
      <c r="D37" s="5" t="s">
        <v>97</v>
      </c>
      <c r="E37" s="9">
        <v>25.1</v>
      </c>
      <c r="F37" s="11">
        <v>1961.7</v>
      </c>
      <c r="G37" s="11">
        <v>2006.4</v>
      </c>
      <c r="H37" s="11" t="s">
        <v>47</v>
      </c>
      <c r="I37" s="1">
        <v>2.0099999999999998</v>
      </c>
      <c r="J37" s="1">
        <v>2.31</v>
      </c>
      <c r="K37" s="1">
        <v>1.2730658172959739</v>
      </c>
      <c r="L37" s="1">
        <v>1.52E-2</v>
      </c>
      <c r="M37" s="11">
        <v>263.58890054190942</v>
      </c>
      <c r="N37" s="1">
        <v>15.2</v>
      </c>
      <c r="O37" s="11">
        <v>263.58890054190942</v>
      </c>
      <c r="P37" s="16">
        <v>1.2730658172959739</v>
      </c>
      <c r="Q37" s="6">
        <v>64.599999999999994</v>
      </c>
      <c r="R37" s="8">
        <v>100</v>
      </c>
      <c r="S37" s="1">
        <v>64.3</v>
      </c>
      <c r="T37" s="1">
        <v>36.179521876409567</v>
      </c>
      <c r="U37" s="1">
        <f t="shared" si="0"/>
        <v>28.120478123590431</v>
      </c>
      <c r="V37" s="1" t="s">
        <v>48</v>
      </c>
      <c r="W37" s="1" t="s">
        <v>49</v>
      </c>
      <c r="X37" s="32"/>
      <c r="Y37" s="13" t="s">
        <v>62</v>
      </c>
      <c r="Z37" s="32"/>
      <c r="AA37" s="1" t="s">
        <v>62</v>
      </c>
      <c r="AB37" s="5" t="s">
        <v>97</v>
      </c>
      <c r="AC37" s="14" t="s">
        <v>52</v>
      </c>
      <c r="AD37" s="25" t="s">
        <v>59</v>
      </c>
      <c r="AE37" s="25" t="s">
        <v>52</v>
      </c>
      <c r="AF37" s="13"/>
      <c r="AG37" s="13"/>
      <c r="BK37" s="6" t="s">
        <v>53</v>
      </c>
    </row>
    <row r="38" spans="1:63" x14ac:dyDescent="0.2">
      <c r="A38" s="1">
        <v>35</v>
      </c>
      <c r="B38" s="5" t="s">
        <v>44</v>
      </c>
      <c r="C38" s="1" t="s">
        <v>45</v>
      </c>
      <c r="D38" s="5" t="s">
        <v>97</v>
      </c>
      <c r="E38" s="9">
        <v>25.1</v>
      </c>
      <c r="F38" s="11">
        <v>1961.7</v>
      </c>
      <c r="G38" s="11">
        <v>2006.4</v>
      </c>
      <c r="H38" s="11" t="s">
        <v>47</v>
      </c>
      <c r="I38" s="1">
        <v>1.98</v>
      </c>
      <c r="J38" s="1">
        <v>2.06</v>
      </c>
      <c r="K38" s="1">
        <v>1.210099392294395</v>
      </c>
      <c r="L38" s="1">
        <v>1.7399999999999999E-2</v>
      </c>
      <c r="M38" s="11">
        <v>201.09120823265013</v>
      </c>
      <c r="N38" s="1">
        <v>17.399999999999999</v>
      </c>
      <c r="O38" s="18">
        <f>(M38-M37*(1-R38/100))*100/R38</f>
        <v>196.88912219691554</v>
      </c>
      <c r="P38" s="19">
        <f>(K38-K37*(1-R38/100))*100/R38</f>
        <v>1.2058657906133925</v>
      </c>
      <c r="Q38" s="6">
        <v>12.2</v>
      </c>
      <c r="R38" s="8">
        <v>93.7</v>
      </c>
      <c r="S38" s="1">
        <v>50.7</v>
      </c>
      <c r="T38" s="1">
        <v>20.392422192151557</v>
      </c>
      <c r="U38" s="1">
        <f t="shared" si="0"/>
        <v>30.307577807848446</v>
      </c>
      <c r="V38" s="1" t="s">
        <v>48</v>
      </c>
      <c r="W38" s="1" t="s">
        <v>49</v>
      </c>
      <c r="X38" s="32"/>
      <c r="Y38" s="13" t="s">
        <v>62</v>
      </c>
      <c r="Z38" s="32"/>
      <c r="AA38" s="1" t="s">
        <v>62</v>
      </c>
      <c r="AB38" s="5" t="s">
        <v>97</v>
      </c>
      <c r="AC38" s="14" t="s">
        <v>52</v>
      </c>
      <c r="AD38" s="25" t="s">
        <v>59</v>
      </c>
      <c r="AE38" s="25" t="s">
        <v>52</v>
      </c>
      <c r="AF38" s="13"/>
      <c r="AG38" s="13"/>
      <c r="BK38" s="6" t="s">
        <v>53</v>
      </c>
    </row>
    <row r="39" spans="1:63" x14ac:dyDescent="0.2">
      <c r="A39" s="1">
        <v>36</v>
      </c>
      <c r="B39" s="12" t="s">
        <v>63</v>
      </c>
      <c r="C39" s="1" t="s">
        <v>54</v>
      </c>
      <c r="D39" s="1" t="s">
        <v>98</v>
      </c>
      <c r="E39" s="20">
        <v>18.399999999999999</v>
      </c>
      <c r="F39" s="10">
        <v>1940.3</v>
      </c>
      <c r="G39" s="10">
        <v>2006.7</v>
      </c>
      <c r="H39" s="20" t="s">
        <v>47</v>
      </c>
      <c r="I39" s="1">
        <v>2</v>
      </c>
      <c r="J39" s="1">
        <v>2.2200000000000002</v>
      </c>
      <c r="K39" s="21">
        <v>1.0941000000000001</v>
      </c>
      <c r="L39" s="21">
        <v>1.12E-2</v>
      </c>
      <c r="M39" s="10">
        <v>86.1</v>
      </c>
      <c r="N39" s="22">
        <v>11.2</v>
      </c>
      <c r="O39" s="10">
        <v>86.1</v>
      </c>
      <c r="P39" s="26">
        <v>1.0941000000000001</v>
      </c>
      <c r="Q39" s="23">
        <v>35.799999999999997</v>
      </c>
      <c r="R39" s="8">
        <v>100</v>
      </c>
      <c r="S39" s="22">
        <v>43</v>
      </c>
      <c r="T39" s="22">
        <v>38.4</v>
      </c>
      <c r="U39" s="1">
        <f t="shared" si="0"/>
        <v>4.6000000000000014</v>
      </c>
      <c r="V39" s="1" t="s">
        <v>48</v>
      </c>
      <c r="W39" s="1" t="s">
        <v>49</v>
      </c>
      <c r="X39" s="12" t="s">
        <v>99</v>
      </c>
      <c r="Y39" s="13" t="s">
        <v>62</v>
      </c>
      <c r="Z39" s="12"/>
      <c r="AA39" s="1" t="s">
        <v>62</v>
      </c>
      <c r="AB39" s="1" t="s">
        <v>98</v>
      </c>
      <c r="AC39" s="14" t="s">
        <v>52</v>
      </c>
      <c r="AD39" s="25">
        <v>20</v>
      </c>
      <c r="AE39" s="25" t="s">
        <v>52</v>
      </c>
      <c r="AF39" s="15">
        <f>G39-AD39</f>
        <v>1986.7</v>
      </c>
      <c r="AG39" s="15">
        <f>G39</f>
        <v>2006.7</v>
      </c>
      <c r="AH39" s="12"/>
      <c r="AI39" s="12"/>
      <c r="AJ39" s="12"/>
      <c r="AK39" s="12"/>
      <c r="AL39" s="12"/>
      <c r="AM39" s="12"/>
      <c r="AN39" s="12"/>
      <c r="AO39" s="69"/>
      <c r="AP39" s="69"/>
      <c r="AQ39" s="12"/>
      <c r="AR39" s="72"/>
      <c r="AS39" s="72"/>
      <c r="AT39" s="12"/>
      <c r="AU39" s="78"/>
      <c r="AV39" s="78"/>
      <c r="AW39" s="12"/>
      <c r="AX39" s="75"/>
      <c r="AY39" s="75"/>
      <c r="AZ39" s="12"/>
      <c r="BA39" s="81"/>
      <c r="BB39" s="81"/>
      <c r="BC39" s="12"/>
      <c r="BD39" s="85"/>
      <c r="BE39" s="85"/>
      <c r="BF39" s="12"/>
      <c r="BG39" s="12"/>
      <c r="BH39" s="12"/>
      <c r="BI39" s="12"/>
      <c r="BJ39" s="12"/>
      <c r="BK39" s="6" t="s">
        <v>53</v>
      </c>
    </row>
    <row r="40" spans="1:63" x14ac:dyDescent="0.2">
      <c r="A40" s="1">
        <v>37</v>
      </c>
      <c r="B40" s="5" t="s">
        <v>44</v>
      </c>
      <c r="C40" s="1" t="s">
        <v>54</v>
      </c>
      <c r="D40" s="5" t="s">
        <v>100</v>
      </c>
      <c r="E40" s="9">
        <v>25.3</v>
      </c>
      <c r="F40" s="10">
        <v>1970.9</v>
      </c>
      <c r="G40" s="10">
        <v>2008.8</v>
      </c>
      <c r="H40" s="11" t="s">
        <v>47</v>
      </c>
      <c r="I40" s="1">
        <v>2</v>
      </c>
      <c r="J40" s="1">
        <v>2.33</v>
      </c>
      <c r="K40" s="1">
        <v>1.3560000000000001</v>
      </c>
      <c r="L40" s="1">
        <v>1.4800000000000001E-2</v>
      </c>
      <c r="M40" s="11">
        <v>345.8</v>
      </c>
      <c r="N40" s="1">
        <v>15</v>
      </c>
      <c r="O40" s="11">
        <v>345.8</v>
      </c>
      <c r="P40" s="16">
        <v>1.3560000000000001</v>
      </c>
      <c r="Q40" s="1">
        <v>77.010000000000005</v>
      </c>
      <c r="R40" s="8">
        <v>100</v>
      </c>
      <c r="S40" s="1">
        <v>40.966666666666669</v>
      </c>
      <c r="T40" s="17">
        <v>31.714027965719442</v>
      </c>
      <c r="U40" s="1">
        <f t="shared" si="0"/>
        <v>9.2526387009472266</v>
      </c>
      <c r="V40" s="1" t="s">
        <v>48</v>
      </c>
      <c r="W40" s="1" t="s">
        <v>49</v>
      </c>
      <c r="X40" s="32"/>
      <c r="Y40" s="13" t="s">
        <v>62</v>
      </c>
      <c r="Z40" s="32"/>
      <c r="AA40" s="1" t="s">
        <v>62</v>
      </c>
      <c r="AB40" s="5" t="s">
        <v>100</v>
      </c>
      <c r="AC40" s="14" t="s">
        <v>52</v>
      </c>
      <c r="AD40" s="13" t="s">
        <v>59</v>
      </c>
      <c r="AE40" s="25" t="s">
        <v>52</v>
      </c>
      <c r="AF40" s="13"/>
      <c r="AG40" s="13"/>
      <c r="BK40" s="6" t="s">
        <v>53</v>
      </c>
    </row>
    <row r="41" spans="1:63" x14ac:dyDescent="0.2">
      <c r="A41" s="1">
        <v>38</v>
      </c>
      <c r="B41" s="5" t="s">
        <v>44</v>
      </c>
      <c r="C41" s="1" t="s">
        <v>45</v>
      </c>
      <c r="D41" s="5" t="s">
        <v>100</v>
      </c>
      <c r="E41" s="9">
        <v>25.3</v>
      </c>
      <c r="F41" s="10">
        <v>1970.9</v>
      </c>
      <c r="G41" s="10">
        <v>2008.8</v>
      </c>
      <c r="H41" s="11" t="s">
        <v>47</v>
      </c>
      <c r="I41" s="1">
        <v>1.99</v>
      </c>
      <c r="J41" s="1">
        <v>2.11</v>
      </c>
      <c r="K41" s="1">
        <v>1.4031</v>
      </c>
      <c r="L41" s="1">
        <v>2.1999999999999999E-2</v>
      </c>
      <c r="M41" s="11">
        <v>392.7</v>
      </c>
      <c r="N41" s="1">
        <v>22</v>
      </c>
      <c r="O41" s="18">
        <f>(M41-M40*(1-R41/100))*100/R41</f>
        <v>394.85857740585772</v>
      </c>
      <c r="P41" s="19">
        <f>(K41-K40*(1-R41/100))*100/R41</f>
        <v>1.4052677824267781</v>
      </c>
      <c r="Q41" s="1">
        <v>9.34</v>
      </c>
      <c r="R41" s="31">
        <v>95.6</v>
      </c>
      <c r="S41" s="1">
        <v>10.85</v>
      </c>
      <c r="T41" s="17">
        <v>8.5912511759172148</v>
      </c>
      <c r="U41" s="1">
        <f t="shared" si="0"/>
        <v>2.2587488240827849</v>
      </c>
      <c r="V41" s="1" t="s">
        <v>48</v>
      </c>
      <c r="W41" s="1" t="s">
        <v>49</v>
      </c>
      <c r="X41" s="32"/>
      <c r="Y41" s="13" t="s">
        <v>62</v>
      </c>
      <c r="Z41" s="32"/>
      <c r="AA41" s="1" t="s">
        <v>62</v>
      </c>
      <c r="AB41" s="5" t="s">
        <v>100</v>
      </c>
      <c r="AC41" s="14" t="s">
        <v>52</v>
      </c>
      <c r="AD41" s="13" t="s">
        <v>59</v>
      </c>
      <c r="AE41" s="25" t="s">
        <v>52</v>
      </c>
      <c r="AF41" s="13"/>
      <c r="AG41" s="13"/>
      <c r="BK41" s="6" t="s">
        <v>53</v>
      </c>
    </row>
    <row r="42" spans="1:63" x14ac:dyDescent="0.2">
      <c r="A42" s="1">
        <v>39</v>
      </c>
      <c r="B42" s="12" t="s">
        <v>63</v>
      </c>
      <c r="C42" s="1" t="s">
        <v>45</v>
      </c>
      <c r="D42" s="1" t="s">
        <v>101</v>
      </c>
      <c r="E42" s="20">
        <v>23.8</v>
      </c>
      <c r="F42" s="10">
        <v>1967.3</v>
      </c>
      <c r="G42" s="10">
        <v>2008.8</v>
      </c>
      <c r="H42" s="20" t="s">
        <v>47</v>
      </c>
      <c r="I42" s="1">
        <v>1.98</v>
      </c>
      <c r="J42" s="1">
        <v>2.27</v>
      </c>
      <c r="K42" s="21">
        <v>1.4348000000000001</v>
      </c>
      <c r="L42" s="21">
        <v>2.3E-2</v>
      </c>
      <c r="M42" s="10">
        <v>424.2</v>
      </c>
      <c r="N42" s="22">
        <v>23</v>
      </c>
      <c r="O42" s="10">
        <v>424.2</v>
      </c>
      <c r="P42" s="66">
        <f>(K42-1.430473769*(1-R42/100))*100/R42</f>
        <v>1.435115647755365</v>
      </c>
      <c r="Q42" s="23">
        <v>11.55</v>
      </c>
      <c r="R42" s="24">
        <v>93.2</v>
      </c>
      <c r="S42" s="22">
        <v>7</v>
      </c>
      <c r="T42" s="22">
        <v>6.7</v>
      </c>
      <c r="U42" s="1">
        <f t="shared" si="0"/>
        <v>0.29999999999999982</v>
      </c>
      <c r="V42" s="1" t="s">
        <v>48</v>
      </c>
      <c r="W42" s="1" t="s">
        <v>49</v>
      </c>
      <c r="X42" s="12" t="s">
        <v>102</v>
      </c>
      <c r="Y42" s="13" t="s">
        <v>62</v>
      </c>
      <c r="Z42" s="12"/>
      <c r="AA42" s="1" t="s">
        <v>62</v>
      </c>
      <c r="AB42" s="1" t="s">
        <v>101</v>
      </c>
      <c r="AC42" s="14" t="s">
        <v>52</v>
      </c>
      <c r="AD42" s="13" t="s">
        <v>59</v>
      </c>
      <c r="AE42" s="25" t="s">
        <v>52</v>
      </c>
      <c r="AF42" s="25"/>
      <c r="AG42" s="25"/>
      <c r="AH42" s="12"/>
      <c r="AI42" s="12"/>
      <c r="AJ42" s="12"/>
      <c r="AK42" s="12"/>
      <c r="AL42" s="12"/>
      <c r="AM42" s="12"/>
      <c r="AN42" s="12"/>
      <c r="AO42" s="69"/>
      <c r="AP42" s="69"/>
      <c r="AQ42" s="12"/>
      <c r="AR42" s="72"/>
      <c r="AS42" s="72"/>
      <c r="AT42" s="12"/>
      <c r="AU42" s="78"/>
      <c r="AV42" s="78"/>
      <c r="AW42" s="12"/>
      <c r="AX42" s="75"/>
      <c r="AY42" s="75"/>
      <c r="AZ42" s="12"/>
      <c r="BA42" s="81"/>
      <c r="BB42" s="81"/>
      <c r="BC42" s="12"/>
      <c r="BD42" s="85"/>
      <c r="BE42" s="85"/>
      <c r="BF42" s="12"/>
      <c r="BG42" s="12"/>
      <c r="BH42" s="12"/>
      <c r="BI42" s="12"/>
      <c r="BJ42" s="12"/>
      <c r="BK42" s="6" t="s">
        <v>53</v>
      </c>
    </row>
    <row r="43" spans="1:63" x14ac:dyDescent="0.2">
      <c r="A43" s="1">
        <v>40</v>
      </c>
      <c r="B43" s="5" t="s">
        <v>44</v>
      </c>
      <c r="C43" s="1" t="s">
        <v>54</v>
      </c>
      <c r="D43" s="5" t="s">
        <v>103</v>
      </c>
      <c r="E43" s="9">
        <v>35.9</v>
      </c>
      <c r="F43" s="10">
        <v>1989</v>
      </c>
      <c r="G43" s="10">
        <v>2010.5</v>
      </c>
      <c r="H43" s="11" t="s">
        <v>47</v>
      </c>
      <c r="I43" s="1">
        <v>1.96</v>
      </c>
      <c r="J43" s="1">
        <v>2.38</v>
      </c>
      <c r="K43" s="1">
        <v>1.1318999999999999</v>
      </c>
      <c r="L43" s="1">
        <v>1.38E-2</v>
      </c>
      <c r="M43" s="11">
        <v>123.5</v>
      </c>
      <c r="N43" s="1">
        <v>14</v>
      </c>
      <c r="O43" s="11">
        <v>123.5</v>
      </c>
      <c r="P43" s="16">
        <v>1.1318999999999999</v>
      </c>
      <c r="Q43" s="1">
        <v>64.2</v>
      </c>
      <c r="R43" s="8">
        <v>100</v>
      </c>
      <c r="S43" s="1">
        <v>19.883333333333333</v>
      </c>
      <c r="T43" s="17">
        <v>19.715832205683355</v>
      </c>
      <c r="U43" s="1">
        <f t="shared" si="0"/>
        <v>0.16750112764997738</v>
      </c>
      <c r="V43" s="1" t="s">
        <v>48</v>
      </c>
      <c r="W43" s="1" t="s">
        <v>49</v>
      </c>
      <c r="X43" s="32"/>
      <c r="Y43" s="13" t="s">
        <v>62</v>
      </c>
      <c r="Z43" s="32"/>
      <c r="AA43" s="1" t="s">
        <v>62</v>
      </c>
      <c r="AB43" s="5" t="s">
        <v>103</v>
      </c>
      <c r="AC43" s="14" t="s">
        <v>52</v>
      </c>
      <c r="AD43" s="13" t="s">
        <v>59</v>
      </c>
      <c r="AE43" s="25" t="s">
        <v>52</v>
      </c>
      <c r="AF43" s="13"/>
      <c r="AG43" s="13"/>
      <c r="BK43" s="6" t="s">
        <v>53</v>
      </c>
    </row>
    <row r="44" spans="1:63" x14ac:dyDescent="0.2">
      <c r="A44" s="1">
        <v>41</v>
      </c>
      <c r="B44" s="5" t="s">
        <v>44</v>
      </c>
      <c r="C44" s="1" t="s">
        <v>45</v>
      </c>
      <c r="D44" s="5" t="s">
        <v>103</v>
      </c>
      <c r="E44" s="9">
        <v>35.9</v>
      </c>
      <c r="F44" s="10">
        <v>1989</v>
      </c>
      <c r="G44" s="10">
        <v>2010.5</v>
      </c>
      <c r="H44" s="11" t="s">
        <v>47</v>
      </c>
      <c r="I44" s="1">
        <v>1.98</v>
      </c>
      <c r="J44" s="1">
        <v>2.2999999999999998</v>
      </c>
      <c r="K44" s="1">
        <v>1.1458999999999999</v>
      </c>
      <c r="L44" s="1">
        <v>1.78E-2</v>
      </c>
      <c r="M44" s="11">
        <v>137.4</v>
      </c>
      <c r="N44" s="1">
        <v>18</v>
      </c>
      <c r="O44" s="18">
        <f>(M44-M43*(1-R44/100))*100/R44</f>
        <v>137.73451100870454</v>
      </c>
      <c r="P44" s="19">
        <f>(K44-K43*(1-R44/100))*100/R44</f>
        <v>1.1462369175627241</v>
      </c>
      <c r="Q44" s="1">
        <v>10.29</v>
      </c>
      <c r="R44" s="31">
        <v>97.65</v>
      </c>
      <c r="S44" s="1">
        <v>14.266666666666666</v>
      </c>
      <c r="T44" s="17">
        <v>11.326116373477671</v>
      </c>
      <c r="U44" s="1">
        <f t="shared" si="0"/>
        <v>2.9405502931889949</v>
      </c>
      <c r="V44" s="1" t="s">
        <v>48</v>
      </c>
      <c r="W44" s="1" t="s">
        <v>49</v>
      </c>
      <c r="X44" s="32"/>
      <c r="Y44" s="13" t="s">
        <v>62</v>
      </c>
      <c r="Z44" s="32"/>
      <c r="AA44" s="1" t="s">
        <v>62</v>
      </c>
      <c r="AB44" s="5" t="s">
        <v>103</v>
      </c>
      <c r="AC44" s="14" t="s">
        <v>52</v>
      </c>
      <c r="AD44" s="13" t="s">
        <v>59</v>
      </c>
      <c r="AE44" s="25" t="s">
        <v>52</v>
      </c>
      <c r="AF44" s="13"/>
      <c r="AG44" s="13"/>
      <c r="BK44" s="6" t="s">
        <v>53</v>
      </c>
    </row>
    <row r="45" spans="1:63" x14ac:dyDescent="0.2">
      <c r="A45" s="1">
        <v>42</v>
      </c>
      <c r="B45" s="5" t="s">
        <v>44</v>
      </c>
      <c r="C45" s="1" t="s">
        <v>54</v>
      </c>
      <c r="D45" s="5" t="s">
        <v>104</v>
      </c>
      <c r="E45" s="9">
        <v>37.6</v>
      </c>
      <c r="F45" s="10">
        <v>1964.5</v>
      </c>
      <c r="G45" s="10">
        <v>2010.8</v>
      </c>
      <c r="H45" s="11" t="s">
        <v>47</v>
      </c>
      <c r="I45" s="1">
        <v>1.98</v>
      </c>
      <c r="J45" s="1">
        <v>2.35</v>
      </c>
      <c r="K45" s="1">
        <v>1.4239895944825776</v>
      </c>
      <c r="L45" s="1">
        <v>1.8000000000000002E-2</v>
      </c>
      <c r="M45" s="11">
        <v>413.3891756650894</v>
      </c>
      <c r="N45" s="1">
        <v>18</v>
      </c>
      <c r="O45" s="11">
        <v>413.3891756650894</v>
      </c>
      <c r="P45" s="16">
        <v>1.4239895944825776</v>
      </c>
      <c r="Q45" s="6">
        <v>5.32</v>
      </c>
      <c r="R45" s="8">
        <v>100</v>
      </c>
      <c r="S45" s="1">
        <v>24.483333333333334</v>
      </c>
      <c r="T45" s="1">
        <v>19.670726206585478</v>
      </c>
      <c r="U45" s="1">
        <f t="shared" si="0"/>
        <v>4.8126071267478565</v>
      </c>
      <c r="V45" s="1" t="s">
        <v>48</v>
      </c>
      <c r="W45" s="1" t="s">
        <v>56</v>
      </c>
      <c r="X45" s="12" t="s">
        <v>75</v>
      </c>
      <c r="Y45" s="13" t="s">
        <v>62</v>
      </c>
      <c r="Z45" s="12"/>
      <c r="AA45" s="1" t="s">
        <v>62</v>
      </c>
      <c r="AB45" s="5" t="s">
        <v>104</v>
      </c>
      <c r="AC45" s="14" t="s">
        <v>52</v>
      </c>
      <c r="AD45" s="13" t="s">
        <v>59</v>
      </c>
      <c r="AE45" s="25" t="s">
        <v>52</v>
      </c>
      <c r="AF45" s="13"/>
      <c r="AG45" s="13"/>
      <c r="BK45" s="6" t="s">
        <v>53</v>
      </c>
    </row>
    <row r="46" spans="1:63" x14ac:dyDescent="0.2">
      <c r="A46" s="1">
        <v>43</v>
      </c>
      <c r="B46" s="12" t="s">
        <v>63</v>
      </c>
      <c r="C46" s="1" t="s">
        <v>54</v>
      </c>
      <c r="D46" s="5" t="s">
        <v>105</v>
      </c>
      <c r="E46" s="9">
        <v>40.299999999999997</v>
      </c>
      <c r="F46" s="10">
        <v>1937.3</v>
      </c>
      <c r="G46" s="10">
        <v>1991.3</v>
      </c>
      <c r="H46" s="11" t="s">
        <v>69</v>
      </c>
      <c r="I46" s="1">
        <v>2.0099999999999998</v>
      </c>
      <c r="J46" s="1">
        <v>2.27</v>
      </c>
      <c r="K46" s="1">
        <v>1.0969</v>
      </c>
      <c r="L46" s="1">
        <v>1.2E-2</v>
      </c>
      <c r="M46" s="11">
        <v>88.8</v>
      </c>
      <c r="N46" s="22">
        <v>12</v>
      </c>
      <c r="O46" s="11">
        <v>88.8</v>
      </c>
      <c r="P46" s="16">
        <v>1.0969</v>
      </c>
      <c r="Q46" s="6">
        <v>72</v>
      </c>
      <c r="R46" s="8">
        <v>100</v>
      </c>
      <c r="S46" s="1">
        <v>62.6</v>
      </c>
      <c r="T46" s="22">
        <v>39.700000000000003</v>
      </c>
      <c r="U46" s="1">
        <f t="shared" si="0"/>
        <v>22.9</v>
      </c>
      <c r="V46" s="1" t="s">
        <v>48</v>
      </c>
      <c r="W46" s="1" t="s">
        <v>56</v>
      </c>
      <c r="X46" s="12" t="s">
        <v>106</v>
      </c>
      <c r="Y46" s="13" t="s">
        <v>58</v>
      </c>
      <c r="Z46" s="12"/>
      <c r="AA46" s="12"/>
      <c r="AB46" s="5" t="s">
        <v>105</v>
      </c>
      <c r="AC46" s="14" t="s">
        <v>52</v>
      </c>
      <c r="AD46" s="13" t="s">
        <v>59</v>
      </c>
      <c r="AE46" s="25" t="s">
        <v>52</v>
      </c>
      <c r="AF46" s="13"/>
      <c r="AG46" s="13"/>
      <c r="BK46" s="6" t="s">
        <v>53</v>
      </c>
    </row>
    <row r="47" spans="1:63" x14ac:dyDescent="0.2">
      <c r="A47" s="1">
        <v>44</v>
      </c>
      <c r="B47" s="12" t="s">
        <v>63</v>
      </c>
      <c r="C47" s="1" t="s">
        <v>45</v>
      </c>
      <c r="D47" s="5" t="s">
        <v>105</v>
      </c>
      <c r="E47" s="9">
        <v>40.299999999999997</v>
      </c>
      <c r="F47" s="10">
        <v>1937.3</v>
      </c>
      <c r="G47" s="10">
        <v>1991.3</v>
      </c>
      <c r="H47" s="11" t="s">
        <v>69</v>
      </c>
      <c r="I47" s="1">
        <v>1.97</v>
      </c>
      <c r="J47" s="1">
        <v>2.1</v>
      </c>
      <c r="K47" s="1">
        <v>1.0244</v>
      </c>
      <c r="L47" s="1">
        <v>1.7000000000000001E-2</v>
      </c>
      <c r="M47" s="11">
        <v>16.7</v>
      </c>
      <c r="N47" s="22">
        <v>17</v>
      </c>
      <c r="O47" s="18">
        <f>(M47-M46*(1-R47/100))*100/R47</f>
        <v>13.695833333333331</v>
      </c>
      <c r="P47" s="19">
        <f>(K47-K46*(1-R47/100))*100/R47</f>
        <v>1.0213791666666665</v>
      </c>
      <c r="Q47" s="6">
        <v>6.4</v>
      </c>
      <c r="R47" s="8">
        <v>96</v>
      </c>
      <c r="S47" s="1">
        <v>11</v>
      </c>
      <c r="T47" s="22">
        <v>9.8000000000000007</v>
      </c>
      <c r="U47" s="1">
        <f t="shared" si="0"/>
        <v>1.1999999999999993</v>
      </c>
      <c r="V47" s="1" t="s">
        <v>48</v>
      </c>
      <c r="W47" s="1" t="s">
        <v>56</v>
      </c>
      <c r="X47" s="12" t="s">
        <v>106</v>
      </c>
      <c r="Y47" s="13" t="s">
        <v>58</v>
      </c>
      <c r="Z47" s="12"/>
      <c r="AA47" s="12"/>
      <c r="AB47" s="5" t="s">
        <v>105</v>
      </c>
      <c r="AC47" s="14" t="s">
        <v>52</v>
      </c>
      <c r="AD47" s="13" t="s">
        <v>59</v>
      </c>
      <c r="AE47" s="25" t="s">
        <v>52</v>
      </c>
      <c r="AF47" s="13"/>
      <c r="AG47" s="13"/>
      <c r="BK47" s="6" t="s">
        <v>53</v>
      </c>
    </row>
    <row r="48" spans="1:63" x14ac:dyDescent="0.2">
      <c r="A48" s="1">
        <v>45</v>
      </c>
      <c r="B48" s="5" t="s">
        <v>44</v>
      </c>
      <c r="C48" s="1" t="s">
        <v>54</v>
      </c>
      <c r="D48" s="5" t="s">
        <v>107</v>
      </c>
      <c r="E48" s="9">
        <v>27.6</v>
      </c>
      <c r="F48" s="10">
        <v>1948.4</v>
      </c>
      <c r="G48" s="10">
        <v>1994.3</v>
      </c>
      <c r="H48" s="11" t="s">
        <v>47</v>
      </c>
      <c r="I48" s="1">
        <v>1.99</v>
      </c>
      <c r="J48" s="1">
        <v>2.27</v>
      </c>
      <c r="K48" s="1">
        <v>1.1093</v>
      </c>
      <c r="L48" s="1">
        <v>1.14E-2</v>
      </c>
      <c r="M48" s="11">
        <v>101.1</v>
      </c>
      <c r="N48" s="1">
        <v>11</v>
      </c>
      <c r="O48" s="11">
        <v>101.1</v>
      </c>
      <c r="P48" s="16">
        <v>1.1093</v>
      </c>
      <c r="Q48" s="6">
        <v>106.2</v>
      </c>
      <c r="R48" s="8">
        <v>100</v>
      </c>
      <c r="S48" s="1">
        <v>95.95</v>
      </c>
      <c r="T48" s="1">
        <v>81.3</v>
      </c>
      <c r="U48" s="1">
        <f t="shared" si="0"/>
        <v>14.650000000000006</v>
      </c>
      <c r="V48" s="1" t="s">
        <v>48</v>
      </c>
      <c r="W48" s="1" t="s">
        <v>49</v>
      </c>
      <c r="X48" s="12" t="s">
        <v>106</v>
      </c>
      <c r="Y48" s="13" t="s">
        <v>58</v>
      </c>
      <c r="Z48" s="12"/>
      <c r="AA48" s="12"/>
      <c r="AB48" s="5" t="s">
        <v>107</v>
      </c>
      <c r="AC48" s="14" t="s">
        <v>52</v>
      </c>
      <c r="AD48" s="13" t="s">
        <v>59</v>
      </c>
      <c r="AE48" s="25" t="s">
        <v>52</v>
      </c>
      <c r="AF48" s="13"/>
      <c r="AG48" s="13"/>
      <c r="BK48" s="6" t="s">
        <v>53</v>
      </c>
    </row>
    <row r="49" spans="1:63" x14ac:dyDescent="0.2">
      <c r="A49" s="1">
        <v>46</v>
      </c>
      <c r="B49" s="5" t="s">
        <v>44</v>
      </c>
      <c r="C49" s="1" t="s">
        <v>45</v>
      </c>
      <c r="D49" s="5" t="s">
        <v>107</v>
      </c>
      <c r="E49" s="9">
        <v>27.6</v>
      </c>
      <c r="F49" s="10">
        <v>1948.4</v>
      </c>
      <c r="G49" s="10">
        <v>1994.3</v>
      </c>
      <c r="H49" s="11" t="s">
        <v>47</v>
      </c>
      <c r="I49" s="1">
        <v>1.98</v>
      </c>
      <c r="J49" s="1">
        <v>2.09</v>
      </c>
      <c r="K49" s="1">
        <v>1.0563</v>
      </c>
      <c r="L49" s="1">
        <v>1.18E-2</v>
      </c>
      <c r="M49" s="11">
        <v>48.6</v>
      </c>
      <c r="N49" s="1">
        <v>12</v>
      </c>
      <c r="O49" s="18">
        <f>(M49-M48*(1-R49/100))*100/R49</f>
        <v>46.469406867845997</v>
      </c>
      <c r="P49" s="19">
        <f>(K49-K48*(1-R49/100))*100/R49</f>
        <v>1.0541491155046825</v>
      </c>
      <c r="Q49" s="6">
        <v>32.700000000000003</v>
      </c>
      <c r="R49" s="8">
        <v>96.1</v>
      </c>
      <c r="S49" s="1">
        <v>80.849999999999994</v>
      </c>
      <c r="T49" s="1">
        <v>70.099999999999994</v>
      </c>
      <c r="U49" s="1">
        <f t="shared" si="0"/>
        <v>10.75</v>
      </c>
      <c r="V49" s="1" t="s">
        <v>48</v>
      </c>
      <c r="W49" s="1" t="s">
        <v>49</v>
      </c>
      <c r="X49" s="12" t="s">
        <v>106</v>
      </c>
      <c r="Y49" s="13" t="s">
        <v>58</v>
      </c>
      <c r="Z49" s="12"/>
      <c r="AA49" s="12"/>
      <c r="AB49" s="5" t="s">
        <v>107</v>
      </c>
      <c r="AC49" s="14" t="s">
        <v>52</v>
      </c>
      <c r="AD49" s="13" t="s">
        <v>59</v>
      </c>
      <c r="AE49" s="25" t="s">
        <v>52</v>
      </c>
      <c r="AF49" s="13"/>
      <c r="AG49" s="13"/>
      <c r="BK49" s="6" t="s">
        <v>53</v>
      </c>
    </row>
    <row r="50" spans="1:63" x14ac:dyDescent="0.2">
      <c r="A50" s="1">
        <v>47</v>
      </c>
      <c r="B50" s="5" t="s">
        <v>44</v>
      </c>
      <c r="C50" s="1" t="s">
        <v>54</v>
      </c>
      <c r="D50" s="5" t="s">
        <v>108</v>
      </c>
      <c r="E50" s="9">
        <v>22.7</v>
      </c>
      <c r="F50" s="10">
        <v>1957.4</v>
      </c>
      <c r="G50" s="10">
        <v>1997.5</v>
      </c>
      <c r="H50" s="11" t="s">
        <v>47</v>
      </c>
      <c r="I50" s="1">
        <v>1.93</v>
      </c>
      <c r="J50" s="1">
        <v>2.35</v>
      </c>
      <c r="K50" s="1">
        <v>1.0674946591104715</v>
      </c>
      <c r="L50" s="1">
        <v>2.76E-2</v>
      </c>
      <c r="M50" s="11">
        <v>59.548048744884731</v>
      </c>
      <c r="N50" s="1">
        <v>27.599999999999998</v>
      </c>
      <c r="O50" s="11">
        <v>59.548048744884731</v>
      </c>
      <c r="P50" s="16">
        <v>1.0674946591104715</v>
      </c>
      <c r="Q50" s="6">
        <v>12.34</v>
      </c>
      <c r="R50" s="8">
        <v>100</v>
      </c>
      <c r="S50" s="1">
        <v>4.9666666666666668</v>
      </c>
      <c r="T50" s="1">
        <v>4.4049858889934148</v>
      </c>
      <c r="U50" s="1">
        <f t="shared" si="0"/>
        <v>0.56168077767325197</v>
      </c>
      <c r="V50" s="1" t="s">
        <v>48</v>
      </c>
      <c r="W50" s="1" t="s">
        <v>49</v>
      </c>
      <c r="X50" s="12" t="s">
        <v>109</v>
      </c>
      <c r="Y50" s="13" t="s">
        <v>51</v>
      </c>
      <c r="Z50" s="12"/>
      <c r="AA50" s="1" t="s">
        <v>51</v>
      </c>
      <c r="AB50" s="5" t="s">
        <v>108</v>
      </c>
      <c r="AC50" s="14" t="s">
        <v>52</v>
      </c>
      <c r="AD50" s="13">
        <v>15</v>
      </c>
      <c r="AE50" s="25" t="s">
        <v>52</v>
      </c>
      <c r="AF50" s="15">
        <f>G50-AD50</f>
        <v>1982.5</v>
      </c>
      <c r="AG50" s="15">
        <f>G50</f>
        <v>1997.5</v>
      </c>
      <c r="BK50" s="6" t="s">
        <v>53</v>
      </c>
    </row>
    <row r="51" spans="1:63" x14ac:dyDescent="0.2">
      <c r="A51" s="1">
        <v>48</v>
      </c>
      <c r="B51" s="5" t="s">
        <v>44</v>
      </c>
      <c r="C51" s="1" t="s">
        <v>54</v>
      </c>
      <c r="D51" s="5" t="s">
        <v>110</v>
      </c>
      <c r="E51" s="9">
        <v>28.1</v>
      </c>
      <c r="F51" s="10">
        <v>1949.8</v>
      </c>
      <c r="G51" s="10">
        <v>1998</v>
      </c>
      <c r="H51" s="11" t="s">
        <v>47</v>
      </c>
      <c r="I51" s="1">
        <v>2.0099999999999998</v>
      </c>
      <c r="J51" s="1">
        <v>2.31</v>
      </c>
      <c r="K51" s="1">
        <v>1.1074999999999999</v>
      </c>
      <c r="L51" s="1">
        <v>1.0999999999999999E-2</v>
      </c>
      <c r="M51" s="11">
        <v>99.3</v>
      </c>
      <c r="N51" s="1">
        <v>11</v>
      </c>
      <c r="O51" s="11">
        <v>99.3</v>
      </c>
      <c r="P51" s="16">
        <v>1.1074999999999999</v>
      </c>
      <c r="Q51" s="6">
        <f>13.3+121.4</f>
        <v>134.70000000000002</v>
      </c>
      <c r="R51" s="8">
        <v>100</v>
      </c>
      <c r="S51" s="1">
        <v>36.4</v>
      </c>
      <c r="T51" s="1">
        <v>30.3</v>
      </c>
      <c r="U51" s="1">
        <f t="shared" si="0"/>
        <v>6.0999999999999979</v>
      </c>
      <c r="V51" s="1" t="s">
        <v>48</v>
      </c>
      <c r="W51" s="1" t="s">
        <v>56</v>
      </c>
      <c r="X51" s="12" t="s">
        <v>111</v>
      </c>
      <c r="Y51" s="13" t="s">
        <v>58</v>
      </c>
      <c r="Z51" s="12"/>
      <c r="AA51" s="12"/>
      <c r="AB51" s="5" t="s">
        <v>110</v>
      </c>
      <c r="AC51" s="14" t="s">
        <v>52</v>
      </c>
      <c r="AD51" s="13" t="s">
        <v>59</v>
      </c>
      <c r="AE51" s="25" t="s">
        <v>52</v>
      </c>
      <c r="AF51" s="13"/>
      <c r="AG51" s="13"/>
      <c r="BK51" s="6" t="s">
        <v>53</v>
      </c>
    </row>
    <row r="52" spans="1:63" x14ac:dyDescent="0.2">
      <c r="A52" s="1">
        <v>49</v>
      </c>
      <c r="B52" s="5" t="s">
        <v>44</v>
      </c>
      <c r="C52" s="1" t="s">
        <v>45</v>
      </c>
      <c r="D52" s="5" t="s">
        <v>110</v>
      </c>
      <c r="E52" s="9">
        <v>28.1</v>
      </c>
      <c r="F52" s="10">
        <v>1949.8</v>
      </c>
      <c r="G52" s="10">
        <v>1998</v>
      </c>
      <c r="H52" s="11" t="s">
        <v>47</v>
      </c>
      <c r="I52" s="1">
        <v>2</v>
      </c>
      <c r="J52" s="1">
        <v>2.04</v>
      </c>
      <c r="K52" s="1">
        <v>1.0616000000000001</v>
      </c>
      <c r="L52" s="1">
        <v>1.06E-2</v>
      </c>
      <c r="M52" s="11">
        <v>53.8</v>
      </c>
      <c r="N52" s="1">
        <v>11</v>
      </c>
      <c r="O52" s="18">
        <f>(M52-M51*(1-R52/100))*100/R52</f>
        <v>51.854744525547453</v>
      </c>
      <c r="P52" s="19">
        <f>(K52-K51*(1-R52/100))*100/R52</f>
        <v>1.0596376433785195</v>
      </c>
      <c r="Q52" s="6">
        <f>1.5+14.1</f>
        <v>15.6</v>
      </c>
      <c r="R52" s="8">
        <v>95.9</v>
      </c>
      <c r="S52" s="1">
        <v>41</v>
      </c>
      <c r="T52" s="1">
        <v>40.200000000000003</v>
      </c>
      <c r="U52" s="1">
        <f t="shared" si="0"/>
        <v>0.79999999999999716</v>
      </c>
      <c r="V52" s="1" t="s">
        <v>48</v>
      </c>
      <c r="W52" s="1" t="s">
        <v>56</v>
      </c>
      <c r="X52" s="12" t="s">
        <v>111</v>
      </c>
      <c r="Y52" s="13" t="s">
        <v>58</v>
      </c>
      <c r="Z52" s="12"/>
      <c r="AA52" s="12"/>
      <c r="AB52" s="5" t="s">
        <v>110</v>
      </c>
      <c r="AC52" s="14" t="s">
        <v>52</v>
      </c>
      <c r="AD52" s="13" t="s">
        <v>59</v>
      </c>
      <c r="AE52" s="25" t="s">
        <v>52</v>
      </c>
      <c r="AF52" s="13"/>
      <c r="AG52" s="13"/>
      <c r="BK52" s="6" t="s">
        <v>53</v>
      </c>
    </row>
    <row r="53" spans="1:63" x14ac:dyDescent="0.2">
      <c r="A53" s="1">
        <v>50</v>
      </c>
      <c r="B53" s="5" t="s">
        <v>44</v>
      </c>
      <c r="C53" s="1" t="s">
        <v>54</v>
      </c>
      <c r="D53" s="5" t="s">
        <v>112</v>
      </c>
      <c r="E53" s="9">
        <v>31.3</v>
      </c>
      <c r="F53" s="10">
        <v>1941.2</v>
      </c>
      <c r="G53" s="10">
        <v>1999.9</v>
      </c>
      <c r="H53" s="11" t="s">
        <v>47</v>
      </c>
      <c r="I53" s="1">
        <v>1.97</v>
      </c>
      <c r="J53" s="1">
        <v>2.3199999999999998</v>
      </c>
      <c r="K53" s="1">
        <v>1.0590469822535211</v>
      </c>
      <c r="L53" s="1">
        <v>1.8000000000000002E-2</v>
      </c>
      <c r="M53" s="11">
        <v>51.163257819871966</v>
      </c>
      <c r="N53" s="1">
        <v>18</v>
      </c>
      <c r="O53" s="11">
        <v>51.163257819871966</v>
      </c>
      <c r="P53" s="16">
        <v>1.0590469822535211</v>
      </c>
      <c r="Q53" s="6">
        <v>16.48</v>
      </c>
      <c r="R53" s="8">
        <v>100</v>
      </c>
      <c r="S53" s="1">
        <v>25.316666666666666</v>
      </c>
      <c r="T53" s="1">
        <v>14.799278304014432</v>
      </c>
      <c r="U53" s="1">
        <f t="shared" si="0"/>
        <v>10.517388362652234</v>
      </c>
      <c r="V53" s="1" t="s">
        <v>48</v>
      </c>
      <c r="W53" s="1" t="s">
        <v>49</v>
      </c>
      <c r="X53" s="12" t="s">
        <v>113</v>
      </c>
      <c r="Y53" s="13" t="s">
        <v>51</v>
      </c>
      <c r="Z53" s="12"/>
      <c r="AA53" s="1" t="s">
        <v>51</v>
      </c>
      <c r="AB53" s="5" t="s">
        <v>112</v>
      </c>
      <c r="AC53" s="14" t="s">
        <v>52</v>
      </c>
      <c r="AD53" s="13" t="s">
        <v>59</v>
      </c>
      <c r="AE53" s="25" t="s">
        <v>52</v>
      </c>
      <c r="AF53" s="13"/>
      <c r="AG53" s="13"/>
      <c r="BK53" s="6" t="s">
        <v>53</v>
      </c>
    </row>
    <row r="54" spans="1:63" x14ac:dyDescent="0.2">
      <c r="A54" s="1">
        <v>51</v>
      </c>
      <c r="B54" s="5" t="s">
        <v>44</v>
      </c>
      <c r="C54" s="1" t="s">
        <v>54</v>
      </c>
      <c r="D54" s="5" t="s">
        <v>114</v>
      </c>
      <c r="E54" s="9">
        <v>31.7</v>
      </c>
      <c r="F54" s="10">
        <v>1954.3</v>
      </c>
      <c r="G54" s="10">
        <v>2000.3</v>
      </c>
      <c r="H54" s="11" t="s">
        <v>47</v>
      </c>
      <c r="I54" s="1">
        <v>1.92</v>
      </c>
      <c r="J54" s="1">
        <v>2.36</v>
      </c>
      <c r="K54" s="1">
        <v>1.0958766000294009</v>
      </c>
      <c r="L54" s="1">
        <v>2.2799999999999997E-2</v>
      </c>
      <c r="M54" s="11">
        <v>87.718709706601445</v>
      </c>
      <c r="N54" s="1">
        <v>22.799999999999997</v>
      </c>
      <c r="O54" s="11">
        <v>87.718709706601445</v>
      </c>
      <c r="P54" s="16">
        <v>1.0958766000294009</v>
      </c>
      <c r="Q54" s="6">
        <v>14.07</v>
      </c>
      <c r="R54" s="8">
        <v>100</v>
      </c>
      <c r="S54" s="1">
        <v>7.8833333333333329</v>
      </c>
      <c r="T54" s="1">
        <v>6.2394167450611473</v>
      </c>
      <c r="U54" s="1">
        <f t="shared" si="0"/>
        <v>1.6439165882721856</v>
      </c>
      <c r="V54" s="1" t="s">
        <v>48</v>
      </c>
      <c r="W54" s="1" t="s">
        <v>49</v>
      </c>
      <c r="X54" s="12" t="s">
        <v>115</v>
      </c>
      <c r="Y54" s="13" t="s">
        <v>51</v>
      </c>
      <c r="Z54" s="12"/>
      <c r="AA54" s="1" t="s">
        <v>51</v>
      </c>
      <c r="AB54" s="5" t="s">
        <v>114</v>
      </c>
      <c r="AC54" s="14" t="s">
        <v>52</v>
      </c>
      <c r="AD54" s="13" t="s">
        <v>116</v>
      </c>
      <c r="AE54" s="25" t="s">
        <v>52</v>
      </c>
      <c r="AF54" s="13"/>
      <c r="AG54" s="13"/>
      <c r="BK54" s="6" t="s">
        <v>53</v>
      </c>
    </row>
    <row r="55" spans="1:63" x14ac:dyDescent="0.2">
      <c r="A55" s="1">
        <v>52</v>
      </c>
      <c r="B55" s="12" t="s">
        <v>63</v>
      </c>
      <c r="C55" s="1" t="s">
        <v>45</v>
      </c>
      <c r="D55" s="1" t="s">
        <v>117</v>
      </c>
      <c r="E55" s="20">
        <v>20.47</v>
      </c>
      <c r="F55" s="10">
        <v>1939.3</v>
      </c>
      <c r="G55" s="10">
        <v>2000.8</v>
      </c>
      <c r="H55" s="20" t="s">
        <v>69</v>
      </c>
      <c r="I55" s="1">
        <v>1.97</v>
      </c>
      <c r="J55" s="1">
        <v>2.25</v>
      </c>
      <c r="K55" s="21">
        <v>1.0246999999999999</v>
      </c>
      <c r="L55" s="21">
        <v>1.6199999999999999E-2</v>
      </c>
      <c r="M55" s="10">
        <v>17.2</v>
      </c>
      <c r="N55" s="22">
        <v>16.2</v>
      </c>
      <c r="O55" s="10">
        <v>17.2</v>
      </c>
      <c r="P55" s="66">
        <f>(K55-1.116854174*(1-R55/100))*100/R55</f>
        <v>1.018817818680851</v>
      </c>
      <c r="Q55" s="23">
        <v>7.39</v>
      </c>
      <c r="R55" s="24">
        <v>94</v>
      </c>
      <c r="S55" s="22">
        <v>14.2</v>
      </c>
      <c r="T55" s="22">
        <v>11.6</v>
      </c>
      <c r="U55" s="1">
        <f t="shared" si="0"/>
        <v>2.5999999999999996</v>
      </c>
      <c r="V55" s="1" t="s">
        <v>48</v>
      </c>
      <c r="W55" s="1" t="s">
        <v>49</v>
      </c>
      <c r="X55" s="12" t="s">
        <v>118</v>
      </c>
      <c r="Y55" s="13" t="s">
        <v>51</v>
      </c>
      <c r="Z55" s="12"/>
      <c r="AA55" s="1" t="s">
        <v>51</v>
      </c>
      <c r="AB55" s="1" t="s">
        <v>117</v>
      </c>
      <c r="AC55" s="14" t="s">
        <v>52</v>
      </c>
      <c r="AD55" s="13" t="s">
        <v>116</v>
      </c>
      <c r="AE55" s="25" t="s">
        <v>52</v>
      </c>
      <c r="AF55" s="25"/>
      <c r="AG55" s="25"/>
      <c r="AH55" s="12"/>
      <c r="AI55" s="12"/>
      <c r="AJ55" s="12"/>
      <c r="AK55" s="12"/>
      <c r="AL55" s="12"/>
      <c r="AM55" s="12"/>
      <c r="AN55" s="12"/>
      <c r="AO55" s="69"/>
      <c r="AP55" s="69"/>
      <c r="AQ55" s="12"/>
      <c r="AR55" s="72"/>
      <c r="AS55" s="72"/>
      <c r="AT55" s="12"/>
      <c r="AU55" s="78"/>
      <c r="AV55" s="78"/>
      <c r="AW55" s="12"/>
      <c r="AX55" s="75"/>
      <c r="AY55" s="75"/>
      <c r="AZ55" s="12"/>
      <c r="BA55" s="81"/>
      <c r="BB55" s="81"/>
      <c r="BC55" s="12"/>
      <c r="BD55" s="85"/>
      <c r="BE55" s="85"/>
      <c r="BF55" s="12"/>
      <c r="BG55" s="12"/>
      <c r="BH55" s="12"/>
      <c r="BI55" s="12"/>
      <c r="BJ55" s="12"/>
      <c r="BK55" s="6" t="s">
        <v>53</v>
      </c>
    </row>
    <row r="56" spans="1:63" x14ac:dyDescent="0.2">
      <c r="A56" s="1">
        <v>53</v>
      </c>
      <c r="B56" s="12" t="s">
        <v>63</v>
      </c>
      <c r="C56" s="1" t="s">
        <v>54</v>
      </c>
      <c r="D56" s="1" t="s">
        <v>119</v>
      </c>
      <c r="E56" s="20">
        <v>27.72</v>
      </c>
      <c r="F56" s="10">
        <v>1946.8</v>
      </c>
      <c r="G56" s="10">
        <v>2000.8</v>
      </c>
      <c r="H56" s="33" t="s">
        <v>47</v>
      </c>
      <c r="I56" s="1">
        <v>1.97</v>
      </c>
      <c r="J56" s="1">
        <v>2.25</v>
      </c>
      <c r="K56" s="21">
        <v>1.0972999999999999</v>
      </c>
      <c r="L56" s="21">
        <v>1.66E-2</v>
      </c>
      <c r="M56" s="10">
        <v>89.3</v>
      </c>
      <c r="N56" s="22">
        <v>16.600000000000001</v>
      </c>
      <c r="O56" s="10">
        <v>89.3</v>
      </c>
      <c r="P56" s="34">
        <v>1.0972999999999999</v>
      </c>
      <c r="Q56" s="23">
        <v>82.4</v>
      </c>
      <c r="R56" s="8">
        <v>100</v>
      </c>
      <c r="S56" s="22">
        <v>24.8</v>
      </c>
      <c r="T56" s="22">
        <v>12.9</v>
      </c>
      <c r="U56" s="1">
        <f t="shared" si="0"/>
        <v>11.9</v>
      </c>
      <c r="V56" s="1" t="s">
        <v>48</v>
      </c>
      <c r="W56" s="1" t="s">
        <v>49</v>
      </c>
      <c r="X56" s="12" t="s">
        <v>120</v>
      </c>
      <c r="Y56" s="13" t="s">
        <v>51</v>
      </c>
      <c r="Z56" s="12"/>
      <c r="AA56" s="1" t="s">
        <v>51</v>
      </c>
      <c r="AB56" s="1" t="s">
        <v>119</v>
      </c>
      <c r="AC56" s="14" t="s">
        <v>52</v>
      </c>
      <c r="AD56" s="25">
        <v>10</v>
      </c>
      <c r="AE56" s="25" t="s">
        <v>52</v>
      </c>
      <c r="AF56" s="15">
        <f>G56-AD56</f>
        <v>1990.8</v>
      </c>
      <c r="AG56" s="15">
        <f>G56</f>
        <v>2000.8</v>
      </c>
      <c r="AH56" s="12"/>
      <c r="AI56" s="12"/>
      <c r="AJ56" s="12"/>
      <c r="AK56" s="12"/>
      <c r="AL56" s="12"/>
      <c r="AM56" s="12"/>
      <c r="AN56" s="12"/>
      <c r="AO56" s="69"/>
      <c r="AP56" s="69"/>
      <c r="AQ56" s="12"/>
      <c r="AR56" s="72"/>
      <c r="AS56" s="72"/>
      <c r="AT56" s="12"/>
      <c r="AU56" s="78"/>
      <c r="AV56" s="78"/>
      <c r="AW56" s="12"/>
      <c r="AX56" s="75"/>
      <c r="AY56" s="75"/>
      <c r="AZ56" s="12"/>
      <c r="BA56" s="81"/>
      <c r="BB56" s="81"/>
      <c r="BC56" s="12"/>
      <c r="BD56" s="85"/>
      <c r="BE56" s="85"/>
      <c r="BF56" s="12"/>
      <c r="BG56" s="12"/>
      <c r="BH56" s="12"/>
      <c r="BI56" s="12"/>
      <c r="BJ56" s="12"/>
      <c r="BK56" s="6" t="s">
        <v>53</v>
      </c>
    </row>
    <row r="57" spans="1:63" x14ac:dyDescent="0.2">
      <c r="A57" s="1">
        <v>54</v>
      </c>
      <c r="B57" s="12" t="s">
        <v>63</v>
      </c>
      <c r="C57" s="1" t="s">
        <v>45</v>
      </c>
      <c r="D57" s="1" t="s">
        <v>119</v>
      </c>
      <c r="E57" s="20">
        <v>27.72</v>
      </c>
      <c r="F57" s="10">
        <v>1946.8</v>
      </c>
      <c r="G57" s="10">
        <v>2000.8</v>
      </c>
      <c r="H57" s="20" t="s">
        <v>47</v>
      </c>
      <c r="I57" s="1">
        <v>1.98</v>
      </c>
      <c r="J57" s="1">
        <v>2.2400000000000002</v>
      </c>
      <c r="K57" s="21">
        <v>1.0346</v>
      </c>
      <c r="L57" s="21">
        <v>1.12E-2</v>
      </c>
      <c r="M57" s="10">
        <v>27</v>
      </c>
      <c r="N57" s="22">
        <v>11.2</v>
      </c>
      <c r="O57" s="18">
        <f>(M57-M56*(1-R57/100))*100/R57</f>
        <v>25.073195876288658</v>
      </c>
      <c r="P57" s="19">
        <f>(K57-K56*(1-R57/100))*100/R57</f>
        <v>1.0326608247422682</v>
      </c>
      <c r="Q57" s="23">
        <v>14.01</v>
      </c>
      <c r="R57" s="24">
        <v>97</v>
      </c>
      <c r="S57" s="22">
        <v>32.9</v>
      </c>
      <c r="T57" s="22">
        <v>26.3</v>
      </c>
      <c r="U57" s="1">
        <f t="shared" si="0"/>
        <v>6.5999999999999979</v>
      </c>
      <c r="V57" s="1" t="s">
        <v>48</v>
      </c>
      <c r="W57" s="1" t="s">
        <v>49</v>
      </c>
      <c r="X57" s="12" t="s">
        <v>120</v>
      </c>
      <c r="Y57" s="13" t="s">
        <v>51</v>
      </c>
      <c r="Z57" s="12"/>
      <c r="AA57" s="1" t="s">
        <v>51</v>
      </c>
      <c r="AB57" s="1" t="s">
        <v>119</v>
      </c>
      <c r="AC57" s="14" t="s">
        <v>52</v>
      </c>
      <c r="AD57" s="25">
        <v>10</v>
      </c>
      <c r="AE57" s="25" t="s">
        <v>52</v>
      </c>
      <c r="AF57" s="15">
        <f>G57-AD57</f>
        <v>1990.8</v>
      </c>
      <c r="AG57" s="15">
        <f>G57</f>
        <v>2000.8</v>
      </c>
      <c r="AH57" s="12"/>
      <c r="AI57" s="12"/>
      <c r="AJ57" s="12"/>
      <c r="AK57" s="12"/>
      <c r="AL57" s="12"/>
      <c r="AM57" s="12"/>
      <c r="AN57" s="12"/>
      <c r="AO57" s="69"/>
      <c r="AP57" s="69"/>
      <c r="AQ57" s="12"/>
      <c r="AR57" s="72"/>
      <c r="AS57" s="72"/>
      <c r="AT57" s="12"/>
      <c r="AU57" s="78"/>
      <c r="AV57" s="78"/>
      <c r="AW57" s="12"/>
      <c r="AX57" s="75"/>
      <c r="AY57" s="75"/>
      <c r="AZ57" s="12"/>
      <c r="BA57" s="81"/>
      <c r="BB57" s="81"/>
      <c r="BC57" s="12"/>
      <c r="BD57" s="85"/>
      <c r="BE57" s="85"/>
      <c r="BF57" s="12"/>
      <c r="BG57" s="12"/>
      <c r="BH57" s="12"/>
      <c r="BI57" s="12"/>
      <c r="BJ57" s="12"/>
      <c r="BK57" s="6" t="s">
        <v>53</v>
      </c>
    </row>
    <row r="58" spans="1:63" x14ac:dyDescent="0.2">
      <c r="A58" s="1">
        <v>55</v>
      </c>
      <c r="B58" s="12" t="s">
        <v>63</v>
      </c>
      <c r="C58" s="1" t="s">
        <v>45</v>
      </c>
      <c r="D58" s="5" t="s">
        <v>121</v>
      </c>
      <c r="E58" s="9">
        <v>29.4</v>
      </c>
      <c r="F58" s="10">
        <v>1949.4</v>
      </c>
      <c r="G58" s="10">
        <v>2011.3</v>
      </c>
      <c r="H58" s="11" t="s">
        <v>47</v>
      </c>
      <c r="I58" s="1">
        <v>1.98</v>
      </c>
      <c r="J58" s="1">
        <v>2.16</v>
      </c>
      <c r="K58" s="1">
        <v>1.0406</v>
      </c>
      <c r="L58" s="1">
        <v>1.54E-2</v>
      </c>
      <c r="M58" s="11">
        <v>32.9</v>
      </c>
      <c r="N58" s="22">
        <v>15.4</v>
      </c>
      <c r="O58" s="11">
        <v>32.9</v>
      </c>
      <c r="P58" s="66">
        <f>(K58-1.090995928*(1-R58/100))*100/R58</f>
        <v>1.0387721684145077</v>
      </c>
      <c r="Q58" s="6">
        <v>10.9</v>
      </c>
      <c r="R58" s="8">
        <v>96.5</v>
      </c>
      <c r="S58" s="1">
        <v>19.3</v>
      </c>
      <c r="T58" s="22">
        <v>13.2</v>
      </c>
      <c r="U58" s="1">
        <f t="shared" si="0"/>
        <v>6.1000000000000014</v>
      </c>
      <c r="V58" s="1" t="s">
        <v>48</v>
      </c>
      <c r="W58" s="1" t="s">
        <v>49</v>
      </c>
      <c r="X58" s="12" t="s">
        <v>122</v>
      </c>
      <c r="Y58" s="13" t="s">
        <v>58</v>
      </c>
      <c r="Z58" s="12"/>
      <c r="AA58" s="12"/>
      <c r="AB58" s="5" t="s">
        <v>121</v>
      </c>
      <c r="AC58" s="14" t="s">
        <v>52</v>
      </c>
      <c r="AD58" s="13" t="s">
        <v>59</v>
      </c>
      <c r="AE58" s="25" t="s">
        <v>52</v>
      </c>
      <c r="AF58" s="13"/>
      <c r="AG58" s="13"/>
      <c r="BK58" s="6" t="s">
        <v>53</v>
      </c>
    </row>
    <row r="59" spans="1:63" x14ac:dyDescent="0.2">
      <c r="A59" s="1">
        <v>56</v>
      </c>
      <c r="B59" s="5" t="s">
        <v>44</v>
      </c>
      <c r="C59" s="1" t="s">
        <v>54</v>
      </c>
      <c r="D59" s="5" t="s">
        <v>123</v>
      </c>
      <c r="E59" s="9">
        <v>35</v>
      </c>
      <c r="F59" s="10">
        <v>1950.6</v>
      </c>
      <c r="G59" s="10">
        <v>2002.8</v>
      </c>
      <c r="H59" s="11" t="s">
        <v>69</v>
      </c>
      <c r="I59" s="1">
        <v>2.0099999999999998</v>
      </c>
      <c r="J59" s="1">
        <v>2.2999999999999998</v>
      </c>
      <c r="K59" s="1">
        <v>1.1146</v>
      </c>
      <c r="L59" s="1">
        <v>1.2E-2</v>
      </c>
      <c r="M59" s="11">
        <v>106.4</v>
      </c>
      <c r="N59" s="1">
        <v>12</v>
      </c>
      <c r="O59" s="11">
        <v>106.4</v>
      </c>
      <c r="P59" s="16">
        <v>1.1146</v>
      </c>
      <c r="Q59" s="6">
        <v>92.8</v>
      </c>
      <c r="R59" s="8">
        <v>100</v>
      </c>
      <c r="S59" s="1">
        <v>90.13</v>
      </c>
      <c r="T59" s="1">
        <v>53.9</v>
      </c>
      <c r="U59" s="1">
        <f t="shared" si="0"/>
        <v>36.229999999999997</v>
      </c>
      <c r="V59" s="1" t="s">
        <v>48</v>
      </c>
      <c r="W59" s="1" t="s">
        <v>49</v>
      </c>
      <c r="X59" s="12" t="s">
        <v>124</v>
      </c>
      <c r="Y59" s="13" t="s">
        <v>58</v>
      </c>
      <c r="Z59" s="12"/>
      <c r="AA59" s="12"/>
      <c r="AB59" s="5" t="s">
        <v>123</v>
      </c>
      <c r="AC59" s="14" t="s">
        <v>52</v>
      </c>
      <c r="AD59" s="13" t="s">
        <v>59</v>
      </c>
      <c r="AE59" s="25" t="s">
        <v>52</v>
      </c>
      <c r="AF59" s="13"/>
      <c r="AG59" s="13"/>
      <c r="BK59" s="6" t="s">
        <v>53</v>
      </c>
    </row>
    <row r="60" spans="1:63" x14ac:dyDescent="0.2">
      <c r="A60" s="1">
        <v>57</v>
      </c>
      <c r="B60" s="5" t="s">
        <v>44</v>
      </c>
      <c r="C60" s="1" t="s">
        <v>45</v>
      </c>
      <c r="D60" s="5" t="s">
        <v>123</v>
      </c>
      <c r="E60" s="9">
        <v>35</v>
      </c>
      <c r="F60" s="10">
        <v>1950.6</v>
      </c>
      <c r="G60" s="10">
        <v>2002.8</v>
      </c>
      <c r="H60" s="11" t="s">
        <v>69</v>
      </c>
      <c r="I60" s="1">
        <v>2.0099999999999998</v>
      </c>
      <c r="J60" s="1">
        <v>2.2200000000000002</v>
      </c>
      <c r="K60" s="1">
        <v>1.0281</v>
      </c>
      <c r="L60" s="1">
        <v>1.3599999999999999E-2</v>
      </c>
      <c r="M60" s="11">
        <v>20.5</v>
      </c>
      <c r="N60" s="1">
        <v>14</v>
      </c>
      <c r="O60" s="18">
        <f>(M60-M59*(1-R60/100))*100/R60</f>
        <v>15.596617336152214</v>
      </c>
      <c r="P60" s="19">
        <f>(K60-K59*(1-R60/100))*100/R60</f>
        <v>1.0231623678646935</v>
      </c>
      <c r="Q60" s="6">
        <v>14</v>
      </c>
      <c r="R60" s="8">
        <v>94.6</v>
      </c>
      <c r="S60" s="1">
        <v>21.63</v>
      </c>
      <c r="T60" s="1">
        <v>19.899999999999999</v>
      </c>
      <c r="U60" s="1">
        <f t="shared" si="0"/>
        <v>1.7300000000000004</v>
      </c>
      <c r="V60" s="1" t="s">
        <v>48</v>
      </c>
      <c r="W60" s="1" t="s">
        <v>49</v>
      </c>
      <c r="X60" s="12" t="s">
        <v>124</v>
      </c>
      <c r="Y60" s="13" t="s">
        <v>58</v>
      </c>
      <c r="Z60" s="12"/>
      <c r="AA60" s="12"/>
      <c r="AB60" s="5" t="s">
        <v>123</v>
      </c>
      <c r="AC60" s="14" t="s">
        <v>52</v>
      </c>
      <c r="AD60" s="13" t="s">
        <v>59</v>
      </c>
      <c r="AE60" s="25" t="s">
        <v>52</v>
      </c>
      <c r="AF60" s="13"/>
      <c r="AG60" s="13"/>
      <c r="BK60" s="6" t="s">
        <v>53</v>
      </c>
    </row>
    <row r="61" spans="1:63" x14ac:dyDescent="0.2">
      <c r="A61" s="1">
        <v>58</v>
      </c>
      <c r="B61" s="5" t="s">
        <v>44</v>
      </c>
      <c r="C61" s="1" t="s">
        <v>45</v>
      </c>
      <c r="D61" s="5" t="s">
        <v>125</v>
      </c>
      <c r="E61" s="9">
        <v>20.8</v>
      </c>
      <c r="F61" s="10">
        <v>1953.9</v>
      </c>
      <c r="G61" s="10">
        <v>2003.7</v>
      </c>
      <c r="H61" s="11" t="s">
        <v>47</v>
      </c>
      <c r="I61" s="1">
        <v>2.04</v>
      </c>
      <c r="J61" s="1">
        <v>2.12</v>
      </c>
      <c r="K61" s="1">
        <v>1.0501</v>
      </c>
      <c r="L61" s="1">
        <v>1.0800000000000001E-2</v>
      </c>
      <c r="M61" s="11">
        <v>42.3</v>
      </c>
      <c r="N61" s="1">
        <v>11</v>
      </c>
      <c r="O61" s="11">
        <v>42.3</v>
      </c>
      <c r="P61" s="66">
        <f>(K61-1.111517429*(1-R61/100))*100/R61</f>
        <v>1.04929105716616</v>
      </c>
      <c r="Q61" s="6">
        <v>91.9</v>
      </c>
      <c r="R61" s="8">
        <v>98.7</v>
      </c>
      <c r="S61" s="1">
        <v>42.7</v>
      </c>
      <c r="T61" s="1">
        <v>35.1</v>
      </c>
      <c r="U61" s="1">
        <f t="shared" si="0"/>
        <v>7.6000000000000014</v>
      </c>
      <c r="V61" s="1" t="s">
        <v>48</v>
      </c>
      <c r="W61" s="1" t="s">
        <v>49</v>
      </c>
      <c r="X61" s="12" t="s">
        <v>126</v>
      </c>
      <c r="Y61" s="13" t="s">
        <v>58</v>
      </c>
      <c r="Z61" s="12"/>
      <c r="AA61" s="12"/>
      <c r="AB61" s="5" t="s">
        <v>125</v>
      </c>
      <c r="AC61" s="14" t="s">
        <v>52</v>
      </c>
      <c r="AD61" s="13" t="s">
        <v>59</v>
      </c>
      <c r="AE61" s="25" t="s">
        <v>52</v>
      </c>
      <c r="AF61" s="13"/>
      <c r="AG61" s="13"/>
      <c r="BK61" s="6" t="s">
        <v>53</v>
      </c>
    </row>
    <row r="62" spans="1:63" x14ac:dyDescent="0.2">
      <c r="A62" s="1">
        <v>59</v>
      </c>
      <c r="B62" s="5" t="s">
        <v>44</v>
      </c>
      <c r="C62" s="1" t="s">
        <v>54</v>
      </c>
      <c r="D62" s="5" t="s">
        <v>127</v>
      </c>
      <c r="E62" s="9">
        <v>24.2</v>
      </c>
      <c r="F62" s="10">
        <v>1955.5</v>
      </c>
      <c r="G62" s="10">
        <v>2004.2916666666699</v>
      </c>
      <c r="H62" s="11" t="s">
        <v>47</v>
      </c>
      <c r="I62" s="1">
        <v>1.98</v>
      </c>
      <c r="J62" s="1">
        <v>2.3199999999999998</v>
      </c>
      <c r="K62" s="1">
        <v>1.1556</v>
      </c>
      <c r="L62" s="1">
        <v>1.2200000000000001E-2</v>
      </c>
      <c r="M62" s="11">
        <v>147.1</v>
      </c>
      <c r="N62" s="1">
        <v>12</v>
      </c>
      <c r="O62" s="11">
        <v>147.1</v>
      </c>
      <c r="P62" s="16">
        <v>1.1556</v>
      </c>
      <c r="Q62" s="6">
        <v>34.700000000000003</v>
      </c>
      <c r="R62" s="8">
        <v>100</v>
      </c>
      <c r="S62" s="1">
        <v>31.9</v>
      </c>
      <c r="T62" s="1">
        <v>29.7</v>
      </c>
      <c r="U62" s="1">
        <f t="shared" si="0"/>
        <v>2.1999999999999993</v>
      </c>
      <c r="V62" s="1" t="s">
        <v>48</v>
      </c>
      <c r="W62" s="1" t="s">
        <v>49</v>
      </c>
      <c r="X62" s="12" t="s">
        <v>128</v>
      </c>
      <c r="Y62" s="13" t="s">
        <v>58</v>
      </c>
      <c r="Z62" s="12"/>
      <c r="AA62" s="12"/>
      <c r="AB62" s="5" t="s">
        <v>127</v>
      </c>
      <c r="AC62" s="14" t="s">
        <v>52</v>
      </c>
      <c r="AD62" s="13" t="s">
        <v>59</v>
      </c>
      <c r="AE62" s="25" t="s">
        <v>52</v>
      </c>
      <c r="AF62" s="13"/>
      <c r="AG62" s="13"/>
      <c r="BK62" s="6" t="s">
        <v>53</v>
      </c>
    </row>
    <row r="63" spans="1:63" x14ac:dyDescent="0.2">
      <c r="A63" s="1">
        <v>60</v>
      </c>
      <c r="B63" s="5" t="s">
        <v>44</v>
      </c>
      <c r="C63" s="1" t="s">
        <v>45</v>
      </c>
      <c r="D63" s="5" t="s">
        <v>127</v>
      </c>
      <c r="E63" s="9">
        <v>24.2</v>
      </c>
      <c r="F63" s="10">
        <v>1955.5</v>
      </c>
      <c r="G63" s="10">
        <v>2004.2916666666699</v>
      </c>
      <c r="H63" s="11" t="s">
        <v>47</v>
      </c>
      <c r="I63" s="1">
        <v>2.02</v>
      </c>
      <c r="J63" s="1">
        <v>2.2000000000000002</v>
      </c>
      <c r="K63" s="1">
        <v>1.0441</v>
      </c>
      <c r="L63" s="1">
        <v>1.2999999999999999E-2</v>
      </c>
      <c r="M63" s="11">
        <v>36.4</v>
      </c>
      <c r="N63" s="1">
        <v>13</v>
      </c>
      <c r="O63" s="18">
        <f>(M63-M62*(1-R63/100))*100/R63</f>
        <v>34.025434116445361</v>
      </c>
      <c r="P63" s="19">
        <f>(K63-K62*(1-R63/100))*100/R63</f>
        <v>1.0417082737487233</v>
      </c>
      <c r="Q63" s="6">
        <v>7.7</v>
      </c>
      <c r="R63" s="8">
        <v>97.9</v>
      </c>
      <c r="S63" s="1">
        <v>23.6</v>
      </c>
      <c r="T63" s="1">
        <v>20.2</v>
      </c>
      <c r="U63" s="1">
        <f t="shared" si="0"/>
        <v>3.4000000000000021</v>
      </c>
      <c r="V63" s="1" t="s">
        <v>48</v>
      </c>
      <c r="W63" s="1" t="s">
        <v>49</v>
      </c>
      <c r="X63" s="12" t="s">
        <v>128</v>
      </c>
      <c r="Y63" s="13" t="s">
        <v>58</v>
      </c>
      <c r="Z63" s="12"/>
      <c r="AA63" s="12"/>
      <c r="AB63" s="5" t="s">
        <v>127</v>
      </c>
      <c r="AC63" s="14" t="s">
        <v>52</v>
      </c>
      <c r="AD63" s="13" t="s">
        <v>59</v>
      </c>
      <c r="AE63" s="25" t="s">
        <v>52</v>
      </c>
      <c r="AF63" s="13"/>
      <c r="AG63" s="13"/>
      <c r="BK63" s="6" t="s">
        <v>53</v>
      </c>
    </row>
    <row r="64" spans="1:63" x14ac:dyDescent="0.2">
      <c r="A64" s="1">
        <v>61</v>
      </c>
      <c r="B64" s="5" t="s">
        <v>44</v>
      </c>
      <c r="C64" s="1" t="s">
        <v>54</v>
      </c>
      <c r="D64" s="5" t="s">
        <v>129</v>
      </c>
      <c r="E64" s="9">
        <v>23</v>
      </c>
      <c r="F64" s="10">
        <v>1953.9</v>
      </c>
      <c r="G64" s="10">
        <v>2004.4583333333301</v>
      </c>
      <c r="H64" s="11" t="s">
        <v>47</v>
      </c>
      <c r="I64" s="1">
        <v>1.98</v>
      </c>
      <c r="J64" s="1">
        <v>2.2799999999999998</v>
      </c>
      <c r="K64" s="1">
        <v>1.0956957598594605</v>
      </c>
      <c r="L64" s="1">
        <v>1.5800000000000002E-2</v>
      </c>
      <c r="M64" s="11">
        <v>87.539215741400113</v>
      </c>
      <c r="N64" s="1">
        <v>15.8</v>
      </c>
      <c r="O64" s="11">
        <v>87.539215741400113</v>
      </c>
      <c r="P64" s="16">
        <v>1.0956957598594605</v>
      </c>
      <c r="Q64" s="6">
        <v>17.55</v>
      </c>
      <c r="R64" s="8">
        <v>100</v>
      </c>
      <c r="S64" s="1">
        <v>38.866666666666667</v>
      </c>
      <c r="T64" s="1">
        <v>19.354984212900316</v>
      </c>
      <c r="U64" s="1">
        <f t="shared" si="0"/>
        <v>19.511682453766351</v>
      </c>
      <c r="V64" s="1" t="s">
        <v>48</v>
      </c>
      <c r="W64" s="1" t="s">
        <v>49</v>
      </c>
      <c r="X64" s="12" t="s">
        <v>115</v>
      </c>
      <c r="Y64" s="13" t="s">
        <v>58</v>
      </c>
      <c r="Z64" s="12"/>
      <c r="AA64" s="12"/>
      <c r="AB64" s="5" t="s">
        <v>129</v>
      </c>
      <c r="AC64" s="14" t="s">
        <v>52</v>
      </c>
      <c r="AD64" s="13" t="s">
        <v>59</v>
      </c>
      <c r="AE64" s="25" t="s">
        <v>52</v>
      </c>
      <c r="AF64" s="13"/>
      <c r="AG64" s="13"/>
      <c r="BK64" s="6" t="s">
        <v>53</v>
      </c>
    </row>
    <row r="65" spans="1:63" x14ac:dyDescent="0.2">
      <c r="A65" s="1">
        <v>62</v>
      </c>
      <c r="B65" s="5" t="s">
        <v>44</v>
      </c>
      <c r="C65" s="1" t="s">
        <v>54</v>
      </c>
      <c r="D65" s="5" t="s">
        <v>130</v>
      </c>
      <c r="E65" s="9">
        <v>25.4</v>
      </c>
      <c r="F65" s="10">
        <v>1955.2</v>
      </c>
      <c r="G65" s="10">
        <v>2006.4</v>
      </c>
      <c r="H65" s="11" t="s">
        <v>47</v>
      </c>
      <c r="I65" s="1">
        <v>2.0099999999999998</v>
      </c>
      <c r="J65" s="1">
        <v>2.48</v>
      </c>
      <c r="K65" s="1">
        <v>1.0660665431998222</v>
      </c>
      <c r="L65" s="1">
        <v>2.4E-2</v>
      </c>
      <c r="M65" s="11">
        <v>58.1305639700469</v>
      </c>
      <c r="N65" s="1">
        <v>24</v>
      </c>
      <c r="O65" s="11">
        <v>58.1305639700469</v>
      </c>
      <c r="P65" s="16">
        <v>1.0660665431998222</v>
      </c>
      <c r="Q65" s="6">
        <v>31.2</v>
      </c>
      <c r="R65" s="8">
        <v>100</v>
      </c>
      <c r="S65" s="1">
        <v>7.1166666666666671</v>
      </c>
      <c r="T65" s="1">
        <v>5.8631232361241761</v>
      </c>
      <c r="U65" s="1">
        <f t="shared" si="0"/>
        <v>1.2535434305424911</v>
      </c>
      <c r="V65" s="1" t="s">
        <v>48</v>
      </c>
      <c r="W65" s="1" t="s">
        <v>56</v>
      </c>
      <c r="X65" s="12" t="s">
        <v>71</v>
      </c>
      <c r="Y65" s="13" t="s">
        <v>58</v>
      </c>
      <c r="Z65" s="12"/>
      <c r="AA65" s="12"/>
      <c r="AB65" s="5" t="s">
        <v>130</v>
      </c>
      <c r="AC65" s="14" t="s">
        <v>52</v>
      </c>
      <c r="AD65" s="13" t="s">
        <v>59</v>
      </c>
      <c r="AE65" s="25" t="s">
        <v>52</v>
      </c>
      <c r="AF65" s="13"/>
      <c r="AG65" s="13"/>
      <c r="BK65" s="6" t="s">
        <v>53</v>
      </c>
    </row>
    <row r="66" spans="1:63" x14ac:dyDescent="0.2">
      <c r="A66" s="1">
        <v>63</v>
      </c>
      <c r="B66" s="5" t="s">
        <v>44</v>
      </c>
      <c r="C66" s="1" t="s">
        <v>54</v>
      </c>
      <c r="D66" s="5" t="s">
        <v>131</v>
      </c>
      <c r="E66" s="9">
        <v>30.6</v>
      </c>
      <c r="F66" s="10">
        <v>1958.6</v>
      </c>
      <c r="G66" s="10">
        <v>2007.6</v>
      </c>
      <c r="H66" s="11" t="s">
        <v>69</v>
      </c>
      <c r="I66" s="1">
        <v>1.97</v>
      </c>
      <c r="J66" s="1">
        <v>2.27</v>
      </c>
      <c r="K66" s="1">
        <v>1.1470125767125274</v>
      </c>
      <c r="L66" s="1">
        <v>2.1600000000000001E-2</v>
      </c>
      <c r="M66" s="11">
        <v>138.47402155089571</v>
      </c>
      <c r="N66" s="1">
        <v>21.6</v>
      </c>
      <c r="O66" s="11">
        <v>138.47402155089571</v>
      </c>
      <c r="P66" s="16">
        <v>1.1470125767125274</v>
      </c>
      <c r="Q66" s="6">
        <v>2.02</v>
      </c>
      <c r="R66" s="8">
        <v>100</v>
      </c>
      <c r="S66" s="1">
        <v>20.633333333333333</v>
      </c>
      <c r="T66" s="1">
        <v>10.378890392422191</v>
      </c>
      <c r="U66" s="1">
        <f t="shared" si="0"/>
        <v>10.254442940911142</v>
      </c>
      <c r="V66" s="1" t="s">
        <v>48</v>
      </c>
      <c r="W66" s="1" t="s">
        <v>49</v>
      </c>
      <c r="X66" s="12" t="s">
        <v>132</v>
      </c>
      <c r="Y66" s="13" t="s">
        <v>58</v>
      </c>
      <c r="Z66" s="12"/>
      <c r="AA66" s="12"/>
      <c r="AB66" s="5" t="s">
        <v>131</v>
      </c>
      <c r="AC66" s="14" t="s">
        <v>52</v>
      </c>
      <c r="AD66" s="13" t="s">
        <v>59</v>
      </c>
      <c r="AE66" s="25" t="s">
        <v>52</v>
      </c>
      <c r="AF66" s="13"/>
      <c r="AG66" s="13"/>
      <c r="BK66" s="6" t="s">
        <v>53</v>
      </c>
    </row>
    <row r="67" spans="1:63" x14ac:dyDescent="0.2">
      <c r="A67" s="1">
        <v>64</v>
      </c>
      <c r="B67" s="12" t="s">
        <v>63</v>
      </c>
      <c r="C67" s="1" t="s">
        <v>45</v>
      </c>
      <c r="D67" s="1" t="s">
        <v>133</v>
      </c>
      <c r="E67" s="20">
        <v>48.55</v>
      </c>
      <c r="F67" s="10">
        <v>1962.9</v>
      </c>
      <c r="G67" s="10">
        <v>2007.8</v>
      </c>
      <c r="H67" s="35" t="s">
        <v>69</v>
      </c>
      <c r="I67" s="1">
        <v>2.02</v>
      </c>
      <c r="J67" s="1">
        <v>2.16</v>
      </c>
      <c r="K67" s="21">
        <v>1.2312000000000001</v>
      </c>
      <c r="L67" s="21">
        <v>1.18E-2</v>
      </c>
      <c r="M67" s="10">
        <v>222.2</v>
      </c>
      <c r="N67" s="22">
        <v>11.8</v>
      </c>
      <c r="O67" s="10">
        <v>222.2</v>
      </c>
      <c r="P67" s="66">
        <f>(K67-1.29826083*(1-R67/100))*100/R67</f>
        <v>1.2291259537113404</v>
      </c>
      <c r="Q67" s="23">
        <v>15.5</v>
      </c>
      <c r="R67" s="24">
        <v>97</v>
      </c>
      <c r="S67" s="22">
        <v>40.5</v>
      </c>
      <c r="T67" s="22">
        <v>37.5</v>
      </c>
      <c r="U67" s="1">
        <f t="shared" si="0"/>
        <v>3</v>
      </c>
      <c r="V67" s="1" t="s">
        <v>48</v>
      </c>
      <c r="W67" s="1" t="s">
        <v>56</v>
      </c>
      <c r="X67" s="12" t="s">
        <v>134</v>
      </c>
      <c r="Y67" s="13" t="s">
        <v>58</v>
      </c>
      <c r="Z67" s="12"/>
      <c r="AA67" s="12"/>
      <c r="AB67" s="1" t="s">
        <v>133</v>
      </c>
      <c r="AC67" s="14" t="s">
        <v>52</v>
      </c>
      <c r="AD67" s="13" t="s">
        <v>59</v>
      </c>
      <c r="AE67" s="25" t="s">
        <v>52</v>
      </c>
      <c r="AF67" s="25"/>
      <c r="AG67" s="25"/>
      <c r="AH67" s="12"/>
      <c r="AI67" s="12"/>
      <c r="AJ67" s="12"/>
      <c r="AK67" s="12"/>
      <c r="AL67" s="12"/>
      <c r="AM67" s="12"/>
      <c r="AN67" s="12"/>
      <c r="AO67" s="69"/>
      <c r="AP67" s="69"/>
      <c r="AQ67" s="12"/>
      <c r="AR67" s="72"/>
      <c r="AS67" s="72"/>
      <c r="AT67" s="12"/>
      <c r="AU67" s="78"/>
      <c r="AV67" s="78"/>
      <c r="AW67" s="12"/>
      <c r="AX67" s="75"/>
      <c r="AY67" s="75"/>
      <c r="AZ67" s="12"/>
      <c r="BA67" s="81"/>
      <c r="BB67" s="81"/>
      <c r="BC67" s="12"/>
      <c r="BD67" s="85"/>
      <c r="BE67" s="85"/>
      <c r="BF67" s="12"/>
      <c r="BG67" s="12"/>
      <c r="BH67" s="12"/>
      <c r="BI67" s="12"/>
      <c r="BJ67" s="12"/>
      <c r="BK67" s="6" t="s">
        <v>53</v>
      </c>
    </row>
    <row r="68" spans="1:63" x14ac:dyDescent="0.2">
      <c r="A68" s="1">
        <v>65</v>
      </c>
      <c r="B68" s="5" t="s">
        <v>44</v>
      </c>
      <c r="C68" s="1" t="s">
        <v>54</v>
      </c>
      <c r="D68" s="5" t="s">
        <v>135</v>
      </c>
      <c r="E68" s="9">
        <v>34.700000000000003</v>
      </c>
      <c r="F68" s="10">
        <v>1966.3</v>
      </c>
      <c r="G68" s="10">
        <v>2008.3</v>
      </c>
      <c r="H68" s="11" t="s">
        <v>69</v>
      </c>
      <c r="I68" s="1">
        <v>1.99</v>
      </c>
      <c r="J68" s="1">
        <v>2.31</v>
      </c>
      <c r="K68" s="1">
        <v>1.4941</v>
      </c>
      <c r="L68" s="1">
        <v>1.18E-2</v>
      </c>
      <c r="M68" s="11">
        <v>483.2</v>
      </c>
      <c r="N68" s="1">
        <v>12</v>
      </c>
      <c r="O68" s="11">
        <v>483.2</v>
      </c>
      <c r="P68" s="16">
        <v>1.4941</v>
      </c>
      <c r="Q68" s="6">
        <v>49.3</v>
      </c>
      <c r="R68" s="8">
        <v>100</v>
      </c>
      <c r="S68" s="1">
        <v>69.8</v>
      </c>
      <c r="T68" s="1">
        <v>56.8</v>
      </c>
      <c r="U68" s="1">
        <f t="shared" ref="U68:U131" si="1">S68-T68</f>
        <v>13</v>
      </c>
      <c r="V68" s="1" t="s">
        <v>48</v>
      </c>
      <c r="W68" s="1" t="s">
        <v>56</v>
      </c>
      <c r="X68" s="12" t="s">
        <v>136</v>
      </c>
      <c r="Y68" s="13" t="s">
        <v>58</v>
      </c>
      <c r="Z68" s="12"/>
      <c r="AA68" s="12"/>
      <c r="AB68" s="5" t="s">
        <v>135</v>
      </c>
      <c r="AC68" s="14" t="s">
        <v>52</v>
      </c>
      <c r="AD68" s="13" t="s">
        <v>59</v>
      </c>
      <c r="AE68" s="25" t="s">
        <v>52</v>
      </c>
      <c r="AF68" s="13"/>
      <c r="AG68" s="13"/>
      <c r="BK68" s="6" t="s">
        <v>53</v>
      </c>
    </row>
    <row r="69" spans="1:63" x14ac:dyDescent="0.2">
      <c r="A69" s="1">
        <v>66</v>
      </c>
      <c r="B69" s="5" t="s">
        <v>44</v>
      </c>
      <c r="C69" s="1" t="s">
        <v>45</v>
      </c>
      <c r="D69" s="5" t="s">
        <v>135</v>
      </c>
      <c r="E69" s="9">
        <v>34.700000000000003</v>
      </c>
      <c r="F69" s="10">
        <v>1966.3</v>
      </c>
      <c r="G69" s="10">
        <v>2008.3</v>
      </c>
      <c r="H69" s="11" t="s">
        <v>69</v>
      </c>
      <c r="I69" s="1">
        <v>2</v>
      </c>
      <c r="J69" s="1">
        <v>2.14</v>
      </c>
      <c r="K69" s="1">
        <v>1.5341</v>
      </c>
      <c r="L69" s="1">
        <v>1.5599999999999999E-2</v>
      </c>
      <c r="M69" s="11">
        <v>522.79999999999995</v>
      </c>
      <c r="N69" s="1">
        <v>16</v>
      </c>
      <c r="O69" s="18">
        <f>(M69-M68*(1-R69/100))*100/R69</f>
        <v>524.15139607032063</v>
      </c>
      <c r="P69" s="19">
        <f>(K69-K68*(1-R69/100))*100/R69</f>
        <v>1.5354650465356776</v>
      </c>
      <c r="Q69" s="6">
        <v>9.49</v>
      </c>
      <c r="R69" s="8">
        <v>96.7</v>
      </c>
      <c r="S69" s="1">
        <v>27.6</v>
      </c>
      <c r="T69" s="1">
        <v>24.9</v>
      </c>
      <c r="U69" s="1">
        <f t="shared" si="1"/>
        <v>2.7000000000000028</v>
      </c>
      <c r="V69" s="1" t="s">
        <v>48</v>
      </c>
      <c r="W69" s="1" t="s">
        <v>56</v>
      </c>
      <c r="X69" s="12" t="s">
        <v>136</v>
      </c>
      <c r="Y69" s="13" t="s">
        <v>58</v>
      </c>
      <c r="Z69" s="12"/>
      <c r="AA69" s="12"/>
      <c r="AB69" s="5" t="s">
        <v>135</v>
      </c>
      <c r="AC69" s="14" t="s">
        <v>52</v>
      </c>
      <c r="AD69" s="13" t="s">
        <v>59</v>
      </c>
      <c r="AE69" s="25" t="s">
        <v>52</v>
      </c>
      <c r="AF69" s="13"/>
      <c r="AG69" s="13"/>
      <c r="BK69" s="6" t="s">
        <v>53</v>
      </c>
    </row>
    <row r="70" spans="1:63" x14ac:dyDescent="0.2">
      <c r="A70" s="1">
        <v>67</v>
      </c>
      <c r="B70" s="5" t="s">
        <v>63</v>
      </c>
      <c r="C70" s="1" t="s">
        <v>54</v>
      </c>
      <c r="D70" s="5" t="s">
        <v>137</v>
      </c>
      <c r="E70" s="9">
        <v>23.7</v>
      </c>
      <c r="F70" s="11">
        <v>1963.3</v>
      </c>
      <c r="G70" s="11">
        <v>2010.3</v>
      </c>
      <c r="H70" s="11" t="s">
        <v>69</v>
      </c>
      <c r="I70" s="1">
        <v>2</v>
      </c>
      <c r="J70" s="1">
        <v>2.27</v>
      </c>
      <c r="K70" s="1">
        <v>1.3628</v>
      </c>
      <c r="L70" s="1">
        <v>1.4E-2</v>
      </c>
      <c r="M70" s="11">
        <v>352.7</v>
      </c>
      <c r="N70" s="29">
        <v>14</v>
      </c>
      <c r="O70" s="11">
        <v>352.7</v>
      </c>
      <c r="P70" s="16">
        <v>1.3628</v>
      </c>
      <c r="Q70" s="6">
        <v>44.7</v>
      </c>
      <c r="R70" s="8">
        <v>100</v>
      </c>
      <c r="S70" s="1">
        <v>76.3</v>
      </c>
      <c r="T70" s="17">
        <v>39.742895805142084</v>
      </c>
      <c r="U70" s="1">
        <f t="shared" si="1"/>
        <v>36.557104194857914</v>
      </c>
      <c r="V70" s="1" t="s">
        <v>48</v>
      </c>
      <c r="W70" s="1" t="s">
        <v>49</v>
      </c>
      <c r="X70" s="12" t="s">
        <v>115</v>
      </c>
      <c r="Y70" s="13" t="s">
        <v>58</v>
      </c>
      <c r="Z70" s="12"/>
      <c r="AA70" s="12"/>
      <c r="AB70" s="5" t="s">
        <v>137</v>
      </c>
      <c r="AC70" s="14" t="s">
        <v>52</v>
      </c>
      <c r="AD70" s="13" t="s">
        <v>59</v>
      </c>
      <c r="AE70" s="25" t="s">
        <v>52</v>
      </c>
      <c r="AF70" s="13"/>
      <c r="AG70" s="13"/>
      <c r="BK70" s="6" t="s">
        <v>53</v>
      </c>
    </row>
    <row r="71" spans="1:63" x14ac:dyDescent="0.2">
      <c r="A71" s="1">
        <v>68</v>
      </c>
      <c r="B71" s="12" t="s">
        <v>63</v>
      </c>
      <c r="C71" s="1" t="s">
        <v>45</v>
      </c>
      <c r="D71" s="5" t="s">
        <v>137</v>
      </c>
      <c r="E71" s="9">
        <v>23.7</v>
      </c>
      <c r="F71" s="10">
        <v>1963.3</v>
      </c>
      <c r="G71" s="10">
        <v>2010.3</v>
      </c>
      <c r="H71" s="11" t="s">
        <v>69</v>
      </c>
      <c r="I71" s="1">
        <v>1.96</v>
      </c>
      <c r="J71" s="1">
        <v>1.97</v>
      </c>
      <c r="K71" s="1">
        <v>1.2148000000000001</v>
      </c>
      <c r="L71" s="1">
        <v>1.5800000000000002E-2</v>
      </c>
      <c r="M71" s="11">
        <v>205.7</v>
      </c>
      <c r="N71" s="22">
        <v>15.8</v>
      </c>
      <c r="O71" s="18">
        <f>(M71-M70*(1-R71/100))*100/R71</f>
        <v>200.05202492211836</v>
      </c>
      <c r="P71" s="19">
        <f>(K71-K70*(1-R71/100))*100/R71</f>
        <v>1.2091136033229493</v>
      </c>
      <c r="Q71" s="6">
        <v>7.6</v>
      </c>
      <c r="R71" s="8">
        <v>96.3</v>
      </c>
      <c r="S71" s="1">
        <v>21.7</v>
      </c>
      <c r="T71" s="22">
        <v>18.8</v>
      </c>
      <c r="U71" s="1">
        <f t="shared" si="1"/>
        <v>2.8999999999999986</v>
      </c>
      <c r="V71" s="1" t="s">
        <v>48</v>
      </c>
      <c r="W71" s="1" t="s">
        <v>49</v>
      </c>
      <c r="X71" s="12" t="s">
        <v>115</v>
      </c>
      <c r="Y71" s="13" t="s">
        <v>58</v>
      </c>
      <c r="Z71" s="12"/>
      <c r="AA71" s="12"/>
      <c r="AB71" s="5" t="s">
        <v>137</v>
      </c>
      <c r="AC71" s="14" t="s">
        <v>52</v>
      </c>
      <c r="AD71" s="13" t="s">
        <v>59</v>
      </c>
      <c r="AE71" s="25" t="s">
        <v>52</v>
      </c>
      <c r="AF71" s="13"/>
      <c r="AG71" s="13"/>
      <c r="BK71" s="6" t="s">
        <v>53</v>
      </c>
    </row>
    <row r="72" spans="1:63" x14ac:dyDescent="0.2">
      <c r="A72" s="1">
        <v>69</v>
      </c>
      <c r="B72" s="12" t="s">
        <v>63</v>
      </c>
      <c r="C72" s="1" t="s">
        <v>45</v>
      </c>
      <c r="D72" s="1" t="s">
        <v>138</v>
      </c>
      <c r="E72" s="20">
        <v>37.76</v>
      </c>
      <c r="F72" s="10">
        <v>1931.5</v>
      </c>
      <c r="G72" s="10">
        <v>1989.4</v>
      </c>
      <c r="H72" s="20" t="s">
        <v>69</v>
      </c>
      <c r="I72" s="1">
        <v>2</v>
      </c>
      <c r="J72" s="1">
        <v>2.4</v>
      </c>
      <c r="K72" s="21">
        <v>1.1388</v>
      </c>
      <c r="L72" s="21">
        <v>1.6199999999999999E-2</v>
      </c>
      <c r="M72" s="10">
        <v>130.5</v>
      </c>
      <c r="N72" s="22">
        <v>16.2</v>
      </c>
      <c r="O72" s="10">
        <v>130.5</v>
      </c>
      <c r="P72" s="66">
        <f>(K72-1.13678788*(1-R72/100))*100/R72</f>
        <v>1.1388729784455958</v>
      </c>
      <c r="Q72" s="36">
        <v>5.7</v>
      </c>
      <c r="R72" s="24">
        <v>96.5</v>
      </c>
      <c r="S72" s="22">
        <v>22.5</v>
      </c>
      <c r="T72" s="22">
        <v>21.7</v>
      </c>
      <c r="U72" s="1">
        <f t="shared" si="1"/>
        <v>0.80000000000000071</v>
      </c>
      <c r="V72" s="1" t="s">
        <v>48</v>
      </c>
      <c r="W72" s="1" t="s">
        <v>59</v>
      </c>
      <c r="X72" s="12" t="s">
        <v>106</v>
      </c>
      <c r="Y72" s="13" t="s">
        <v>51</v>
      </c>
      <c r="Z72" s="12"/>
      <c r="AA72" s="1" t="s">
        <v>51</v>
      </c>
      <c r="AB72" s="1" t="s">
        <v>138</v>
      </c>
      <c r="AC72" s="14" t="s">
        <v>52</v>
      </c>
      <c r="AD72" s="25">
        <v>10</v>
      </c>
      <c r="AE72" s="25" t="s">
        <v>52</v>
      </c>
      <c r="AF72" s="15">
        <f>G72-AD72</f>
        <v>1979.4</v>
      </c>
      <c r="AG72" s="15">
        <f>G72</f>
        <v>1989.4</v>
      </c>
      <c r="AH72" s="12"/>
      <c r="AI72" s="12"/>
      <c r="AJ72" s="12"/>
      <c r="AK72" s="12"/>
      <c r="AL72" s="12"/>
      <c r="AM72" s="12"/>
      <c r="AN72" s="12"/>
      <c r="AO72" s="69"/>
      <c r="AP72" s="69"/>
      <c r="AQ72" s="12"/>
      <c r="AR72" s="72"/>
      <c r="AS72" s="72"/>
      <c r="AT72" s="12"/>
      <c r="AU72" s="78"/>
      <c r="AV72" s="78"/>
      <c r="AW72" s="12"/>
      <c r="AX72" s="75"/>
      <c r="AY72" s="75"/>
      <c r="AZ72" s="12"/>
      <c r="BA72" s="81"/>
      <c r="BB72" s="81"/>
      <c r="BC72" s="12"/>
      <c r="BD72" s="85"/>
      <c r="BE72" s="85"/>
      <c r="BF72" s="12"/>
      <c r="BG72" s="12"/>
      <c r="BH72" s="12"/>
      <c r="BI72" s="12"/>
      <c r="BJ72" s="12"/>
      <c r="BK72" s="6" t="s">
        <v>53</v>
      </c>
    </row>
    <row r="73" spans="1:63" x14ac:dyDescent="0.2">
      <c r="A73" s="1">
        <v>70</v>
      </c>
      <c r="B73" s="5" t="s">
        <v>44</v>
      </c>
      <c r="C73" s="1" t="s">
        <v>54</v>
      </c>
      <c r="D73" s="5" t="s">
        <v>139</v>
      </c>
      <c r="E73" s="9">
        <v>37.799999999999997</v>
      </c>
      <c r="F73" s="10">
        <v>1959.5</v>
      </c>
      <c r="G73" s="10">
        <v>2010.8</v>
      </c>
      <c r="H73" s="11" t="s">
        <v>47</v>
      </c>
      <c r="I73" s="1">
        <v>1.97</v>
      </c>
      <c r="J73" s="1">
        <v>2.27</v>
      </c>
      <c r="K73" s="1">
        <v>1.1760069986627979</v>
      </c>
      <c r="L73" s="1">
        <v>1.44E-2</v>
      </c>
      <c r="M73" s="11">
        <v>167.25260413180919</v>
      </c>
      <c r="N73" s="1">
        <v>14.399999999999999</v>
      </c>
      <c r="O73" s="11">
        <v>167.25260413180919</v>
      </c>
      <c r="P73" s="16">
        <v>1.1760069986627979</v>
      </c>
      <c r="Q73" s="6">
        <v>53.58</v>
      </c>
      <c r="R73" s="8">
        <v>100</v>
      </c>
      <c r="S73" s="1">
        <v>26.8</v>
      </c>
      <c r="T73" s="1">
        <v>25.57961208840776</v>
      </c>
      <c r="U73" s="1">
        <f t="shared" si="1"/>
        <v>1.2203879115922405</v>
      </c>
      <c r="V73" s="1" t="s">
        <v>48</v>
      </c>
      <c r="W73" s="1" t="s">
        <v>49</v>
      </c>
      <c r="X73" s="12" t="s">
        <v>115</v>
      </c>
      <c r="Y73" s="13" t="s">
        <v>58</v>
      </c>
      <c r="Z73" s="12"/>
      <c r="AA73" s="12"/>
      <c r="AB73" s="5" t="s">
        <v>139</v>
      </c>
      <c r="AC73" s="14" t="s">
        <v>52</v>
      </c>
      <c r="AD73" s="13" t="s">
        <v>59</v>
      </c>
      <c r="AE73" s="25" t="s">
        <v>52</v>
      </c>
      <c r="AF73" s="13"/>
      <c r="AG73" s="13"/>
      <c r="BK73" s="6" t="s">
        <v>53</v>
      </c>
    </row>
    <row r="74" spans="1:63" x14ac:dyDescent="0.2">
      <c r="A74" s="1">
        <v>71</v>
      </c>
      <c r="B74" s="5" t="s">
        <v>44</v>
      </c>
      <c r="C74" s="1" t="s">
        <v>54</v>
      </c>
      <c r="D74" s="5" t="s">
        <v>140</v>
      </c>
      <c r="E74" s="9">
        <v>49.9</v>
      </c>
      <c r="F74" s="11">
        <v>1961.2</v>
      </c>
      <c r="G74" s="11">
        <v>2011.1</v>
      </c>
      <c r="H74" s="11" t="s">
        <v>47</v>
      </c>
      <c r="I74" s="1">
        <v>1.98</v>
      </c>
      <c r="J74" s="1">
        <v>2.33</v>
      </c>
      <c r="K74" s="1">
        <v>1.2458</v>
      </c>
      <c r="L74" s="1">
        <v>1.18E-2</v>
      </c>
      <c r="M74" s="11">
        <v>236.7</v>
      </c>
      <c r="N74" s="1">
        <v>12</v>
      </c>
      <c r="O74" s="11">
        <v>236.7</v>
      </c>
      <c r="P74" s="16">
        <v>1.2458</v>
      </c>
      <c r="Q74" s="6">
        <f>26.2+36.8</f>
        <v>63</v>
      </c>
      <c r="R74" s="8">
        <v>100</v>
      </c>
      <c r="S74" s="1">
        <v>31.5</v>
      </c>
      <c r="T74" s="1">
        <v>31.3</v>
      </c>
      <c r="U74" s="1">
        <f t="shared" si="1"/>
        <v>0.19999999999999929</v>
      </c>
      <c r="V74" s="1" t="s">
        <v>48</v>
      </c>
      <c r="W74" s="1" t="s">
        <v>56</v>
      </c>
      <c r="X74" s="32"/>
      <c r="Y74" s="25" t="s">
        <v>58</v>
      </c>
      <c r="Z74" s="32"/>
      <c r="AA74" s="32"/>
      <c r="AB74" s="5" t="s">
        <v>140</v>
      </c>
      <c r="AC74" s="14" t="s">
        <v>52</v>
      </c>
      <c r="AD74" s="13" t="s">
        <v>59</v>
      </c>
      <c r="AE74" s="25" t="s">
        <v>52</v>
      </c>
      <c r="AF74" s="13"/>
      <c r="AG74" s="13"/>
      <c r="BK74" s="6" t="s">
        <v>53</v>
      </c>
    </row>
    <row r="75" spans="1:63" x14ac:dyDescent="0.2">
      <c r="A75" s="1">
        <v>72</v>
      </c>
      <c r="B75" s="5" t="s">
        <v>44</v>
      </c>
      <c r="C75" s="1" t="s">
        <v>45</v>
      </c>
      <c r="D75" s="37" t="s">
        <v>140</v>
      </c>
      <c r="E75" s="9">
        <v>49.9</v>
      </c>
      <c r="F75" s="11">
        <v>1961.2</v>
      </c>
      <c r="G75" s="11">
        <v>2011.1</v>
      </c>
      <c r="H75" s="11" t="s">
        <v>47</v>
      </c>
      <c r="I75" s="1">
        <v>2</v>
      </c>
      <c r="J75" s="1">
        <v>2.2000000000000002</v>
      </c>
      <c r="K75" s="1">
        <v>1.2166999999999999</v>
      </c>
      <c r="L75" s="1">
        <v>1.12E-2</v>
      </c>
      <c r="M75" s="11">
        <v>207.8</v>
      </c>
      <c r="N75" s="1">
        <v>11</v>
      </c>
      <c r="O75" s="18">
        <f>(M75-M74*(1-R75/100))*100/R75</f>
        <v>206.37471143756562</v>
      </c>
      <c r="P75" s="19">
        <f>(K75-K74*(1-R75/100))*100/R75</f>
        <v>1.2152648478488981</v>
      </c>
      <c r="Q75" s="6">
        <f>6.6+9</f>
        <v>15.6</v>
      </c>
      <c r="R75" s="8">
        <v>95.3</v>
      </c>
      <c r="S75" s="1">
        <v>43.9</v>
      </c>
      <c r="T75" s="1">
        <v>40.1</v>
      </c>
      <c r="U75" s="1">
        <f t="shared" si="1"/>
        <v>3.7999999999999972</v>
      </c>
      <c r="V75" s="1" t="s">
        <v>48</v>
      </c>
      <c r="W75" s="1" t="s">
        <v>56</v>
      </c>
      <c r="X75" s="32"/>
      <c r="Y75" s="25" t="s">
        <v>58</v>
      </c>
      <c r="Z75" s="32"/>
      <c r="AA75" s="32"/>
      <c r="AB75" s="37" t="s">
        <v>140</v>
      </c>
      <c r="AC75" s="14" t="s">
        <v>52</v>
      </c>
      <c r="AD75" s="13" t="s">
        <v>59</v>
      </c>
      <c r="AE75" s="25" t="s">
        <v>52</v>
      </c>
      <c r="AF75" s="13"/>
      <c r="AG75" s="13"/>
      <c r="BK75" s="6" t="s">
        <v>53</v>
      </c>
    </row>
    <row r="76" spans="1:63" x14ac:dyDescent="0.2">
      <c r="A76" s="1">
        <v>73</v>
      </c>
      <c r="B76" s="5" t="s">
        <v>44</v>
      </c>
      <c r="C76" s="1" t="s">
        <v>54</v>
      </c>
      <c r="D76" s="5" t="s">
        <v>141</v>
      </c>
      <c r="E76" s="9">
        <v>27.8</v>
      </c>
      <c r="F76" s="10">
        <v>1966.4</v>
      </c>
      <c r="G76" s="10">
        <v>2012.6</v>
      </c>
      <c r="H76" s="11" t="s">
        <v>47</v>
      </c>
      <c r="I76" s="1">
        <v>1.99</v>
      </c>
      <c r="J76" s="1">
        <v>2.27</v>
      </c>
      <c r="K76" s="1">
        <v>1.3882000000000001</v>
      </c>
      <c r="L76" s="1">
        <v>1.4200000000000001E-2</v>
      </c>
      <c r="M76" s="11">
        <v>377.9</v>
      </c>
      <c r="N76" s="1">
        <v>14</v>
      </c>
      <c r="O76" s="11">
        <v>377.9</v>
      </c>
      <c r="P76" s="16">
        <v>1.3882000000000001</v>
      </c>
      <c r="Q76" s="1">
        <v>65</v>
      </c>
      <c r="R76" s="8">
        <v>100</v>
      </c>
      <c r="S76" s="1">
        <v>43.25</v>
      </c>
      <c r="T76" s="17">
        <v>42.945421741091565</v>
      </c>
      <c r="U76" s="1">
        <f t="shared" si="1"/>
        <v>0.30457825890843537</v>
      </c>
      <c r="V76" s="1" t="s">
        <v>48</v>
      </c>
      <c r="W76" s="1" t="s">
        <v>49</v>
      </c>
      <c r="X76" s="32"/>
      <c r="Y76" s="13" t="s">
        <v>58</v>
      </c>
      <c r="Z76" s="32"/>
      <c r="AA76" s="32"/>
      <c r="AB76" s="5" t="s">
        <v>141</v>
      </c>
      <c r="AC76" s="14" t="s">
        <v>52</v>
      </c>
      <c r="AD76" s="13" t="s">
        <v>59</v>
      </c>
      <c r="AE76" s="25" t="s">
        <v>52</v>
      </c>
      <c r="AF76" s="13"/>
      <c r="AG76" s="13"/>
      <c r="BK76" s="6" t="s">
        <v>53</v>
      </c>
    </row>
    <row r="77" spans="1:63" x14ac:dyDescent="0.2">
      <c r="A77" s="1">
        <v>74</v>
      </c>
      <c r="B77" s="5" t="s">
        <v>44</v>
      </c>
      <c r="C77" s="1" t="s">
        <v>45</v>
      </c>
      <c r="D77" s="5" t="s">
        <v>141</v>
      </c>
      <c r="E77" s="9">
        <v>27.8</v>
      </c>
      <c r="F77" s="10">
        <v>1966.4</v>
      </c>
      <c r="G77" s="10">
        <v>2012.6</v>
      </c>
      <c r="H77" s="11" t="s">
        <v>47</v>
      </c>
      <c r="I77" s="1">
        <v>1.98</v>
      </c>
      <c r="J77" s="1">
        <v>2.2799999999999998</v>
      </c>
      <c r="K77" s="1">
        <v>1.5185</v>
      </c>
      <c r="L77" s="1">
        <v>1.72E-2</v>
      </c>
      <c r="M77" s="11">
        <v>507.2</v>
      </c>
      <c r="N77" s="1">
        <v>17</v>
      </c>
      <c r="O77" s="18">
        <f>(M77-M76*(1-R77/100))*100/R77</f>
        <v>510.51538461538462</v>
      </c>
      <c r="P77" s="19">
        <f>(K77-K76*(1-R77/100))*100/R77</f>
        <v>1.5218410256410257</v>
      </c>
      <c r="Q77" s="1">
        <v>12.3</v>
      </c>
      <c r="R77" s="31">
        <v>97.5</v>
      </c>
      <c r="S77" s="1">
        <v>17.216666666666665</v>
      </c>
      <c r="T77" s="17">
        <v>13.536310329273793</v>
      </c>
      <c r="U77" s="1">
        <f t="shared" si="1"/>
        <v>3.6803563373928725</v>
      </c>
      <c r="V77" s="1" t="s">
        <v>48</v>
      </c>
      <c r="W77" s="1" t="s">
        <v>49</v>
      </c>
      <c r="X77" s="32"/>
      <c r="Y77" s="13" t="s">
        <v>58</v>
      </c>
      <c r="Z77" s="32"/>
      <c r="AA77" s="32"/>
      <c r="AB77" s="5" t="s">
        <v>141</v>
      </c>
      <c r="AC77" s="14" t="s">
        <v>52</v>
      </c>
      <c r="AD77" s="13" t="s">
        <v>59</v>
      </c>
      <c r="AE77" s="25" t="s">
        <v>52</v>
      </c>
      <c r="AF77" s="13"/>
      <c r="AG77" s="13"/>
      <c r="BK77" s="6" t="s">
        <v>53</v>
      </c>
    </row>
    <row r="78" spans="1:63" x14ac:dyDescent="0.2">
      <c r="A78" s="1">
        <v>75</v>
      </c>
      <c r="B78" s="5" t="s">
        <v>44</v>
      </c>
      <c r="C78" s="1" t="s">
        <v>54</v>
      </c>
      <c r="D78" s="5" t="s">
        <v>142</v>
      </c>
      <c r="E78" s="9">
        <v>21.3</v>
      </c>
      <c r="F78" s="10">
        <v>1979.8</v>
      </c>
      <c r="G78" s="10">
        <v>2012.6</v>
      </c>
      <c r="H78" s="11" t="s">
        <v>47</v>
      </c>
      <c r="I78" s="1">
        <v>2.0099999999999998</v>
      </c>
      <c r="J78" s="1">
        <v>2.31</v>
      </c>
      <c r="K78" s="1">
        <v>1.2205999999999999</v>
      </c>
      <c r="L78" s="1">
        <v>1.5599999999999999E-2</v>
      </c>
      <c r="M78" s="11">
        <v>211.5</v>
      </c>
      <c r="N78" s="1">
        <v>16</v>
      </c>
      <c r="O78" s="11">
        <v>211.5</v>
      </c>
      <c r="P78" s="16">
        <v>1.2205999999999999</v>
      </c>
      <c r="Q78" s="1">
        <v>53.63</v>
      </c>
      <c r="R78" s="8">
        <v>100</v>
      </c>
      <c r="S78" s="1">
        <v>17.45</v>
      </c>
      <c r="T78" s="17">
        <v>14.393324312133512</v>
      </c>
      <c r="U78" s="1">
        <f t="shared" si="1"/>
        <v>3.0566756878664876</v>
      </c>
      <c r="V78" s="1" t="s">
        <v>48</v>
      </c>
      <c r="W78" s="1" t="s">
        <v>49</v>
      </c>
      <c r="X78" s="32"/>
      <c r="Y78" s="13" t="s">
        <v>58</v>
      </c>
      <c r="Z78" s="32"/>
      <c r="AA78" s="32"/>
      <c r="AB78" s="5" t="s">
        <v>142</v>
      </c>
      <c r="AC78" s="14" t="s">
        <v>52</v>
      </c>
      <c r="AD78" s="13" t="s">
        <v>59</v>
      </c>
      <c r="AE78" s="25" t="s">
        <v>52</v>
      </c>
      <c r="AF78" s="13"/>
      <c r="AG78" s="13"/>
      <c r="BK78" s="6" t="s">
        <v>53</v>
      </c>
    </row>
    <row r="79" spans="1:63" x14ac:dyDescent="0.2">
      <c r="A79" s="1">
        <v>76</v>
      </c>
      <c r="B79" s="12" t="s">
        <v>63</v>
      </c>
      <c r="C79" s="1" t="s">
        <v>45</v>
      </c>
      <c r="D79" s="5" t="s">
        <v>142</v>
      </c>
      <c r="E79" s="9">
        <v>21.3</v>
      </c>
      <c r="F79" s="10">
        <v>1979.8</v>
      </c>
      <c r="G79" s="10">
        <v>2012.6</v>
      </c>
      <c r="H79" s="11" t="s">
        <v>47</v>
      </c>
      <c r="I79" s="1">
        <v>1.96</v>
      </c>
      <c r="J79" s="1">
        <v>2.25</v>
      </c>
      <c r="K79" s="1">
        <v>1.2028000000000001</v>
      </c>
      <c r="L79" s="1">
        <v>1.9E-2</v>
      </c>
      <c r="M79" s="11">
        <v>193.8</v>
      </c>
      <c r="N79" s="1">
        <v>19</v>
      </c>
      <c r="O79" s="18">
        <f>(M79-M78*(1-R79/100))*100/R79</f>
        <v>192.67021276595744</v>
      </c>
      <c r="P79" s="19">
        <f>(K79-K78*(1-R79/100))*100/R79</f>
        <v>1.201663829787234</v>
      </c>
      <c r="Q79" s="1">
        <v>6.74</v>
      </c>
      <c r="R79" s="31">
        <v>94</v>
      </c>
      <c r="S79" s="1">
        <v>9.5</v>
      </c>
      <c r="T79" s="17">
        <v>9.1556914393226716</v>
      </c>
      <c r="U79" s="1">
        <f t="shared" si="1"/>
        <v>0.3443085606773284</v>
      </c>
      <c r="V79" s="1" t="s">
        <v>48</v>
      </c>
      <c r="W79" s="1" t="s">
        <v>49</v>
      </c>
      <c r="X79" s="32"/>
      <c r="Y79" s="13" t="s">
        <v>58</v>
      </c>
      <c r="Z79" s="32"/>
      <c r="AA79" s="32"/>
      <c r="AB79" s="5" t="s">
        <v>142</v>
      </c>
      <c r="AC79" s="14" t="s">
        <v>52</v>
      </c>
      <c r="AD79" s="13" t="s">
        <v>59</v>
      </c>
      <c r="AE79" s="25" t="s">
        <v>52</v>
      </c>
      <c r="AF79" s="13"/>
      <c r="AG79" s="13"/>
      <c r="BK79" s="6" t="s">
        <v>53</v>
      </c>
    </row>
    <row r="80" spans="1:63" x14ac:dyDescent="0.2">
      <c r="A80" s="1">
        <v>77</v>
      </c>
      <c r="B80" s="12" t="s">
        <v>63</v>
      </c>
      <c r="C80" s="1" t="s">
        <v>54</v>
      </c>
      <c r="D80" s="1" t="s">
        <v>143</v>
      </c>
      <c r="E80" s="20">
        <v>21.48</v>
      </c>
      <c r="F80" s="10">
        <v>1949.8</v>
      </c>
      <c r="G80" s="10">
        <v>2004.3</v>
      </c>
      <c r="H80" s="33" t="s">
        <v>47</v>
      </c>
      <c r="I80" s="1">
        <v>2</v>
      </c>
      <c r="J80" s="1">
        <v>2.31</v>
      </c>
      <c r="K80" s="21">
        <v>1.1307</v>
      </c>
      <c r="L80" s="21">
        <v>0.01</v>
      </c>
      <c r="M80" s="10">
        <v>122.4</v>
      </c>
      <c r="N80" s="22">
        <v>10</v>
      </c>
      <c r="O80" s="10">
        <v>122.4</v>
      </c>
      <c r="P80" s="26">
        <v>1.1307</v>
      </c>
      <c r="Q80" s="23">
        <v>91.3</v>
      </c>
      <c r="R80" s="8">
        <v>100</v>
      </c>
      <c r="S80" s="22">
        <v>82.7</v>
      </c>
      <c r="T80" s="22">
        <v>77.599999999999994</v>
      </c>
      <c r="U80" s="1">
        <f t="shared" si="1"/>
        <v>5.1000000000000085</v>
      </c>
      <c r="V80" s="1" t="s">
        <v>48</v>
      </c>
      <c r="W80" s="1" t="s">
        <v>49</v>
      </c>
      <c r="X80" s="12" t="s">
        <v>81</v>
      </c>
      <c r="Y80" s="13" t="s">
        <v>51</v>
      </c>
      <c r="Z80" s="12"/>
      <c r="AA80" s="1" t="s">
        <v>51</v>
      </c>
      <c r="AB80" s="1" t="s">
        <v>143</v>
      </c>
      <c r="AC80" s="14" t="s">
        <v>52</v>
      </c>
      <c r="AD80" s="25">
        <v>10</v>
      </c>
      <c r="AE80" s="25" t="s">
        <v>52</v>
      </c>
      <c r="AF80" s="15">
        <f>G80-AD80</f>
        <v>1994.3</v>
      </c>
      <c r="AG80" s="15">
        <f>G80</f>
        <v>2004.3</v>
      </c>
      <c r="AH80" s="12"/>
      <c r="AI80" s="12"/>
      <c r="AJ80" s="12"/>
      <c r="AK80" s="12"/>
      <c r="AL80" s="12"/>
      <c r="AM80" s="12"/>
      <c r="AN80" s="12"/>
      <c r="AO80" s="69"/>
      <c r="AP80" s="69"/>
      <c r="AQ80" s="12"/>
      <c r="AR80" s="72"/>
      <c r="AS80" s="72"/>
      <c r="AT80" s="12"/>
      <c r="AU80" s="78"/>
      <c r="AV80" s="78"/>
      <c r="AW80" s="12"/>
      <c r="AX80" s="75"/>
      <c r="AY80" s="75"/>
      <c r="AZ80" s="12"/>
      <c r="BA80" s="81"/>
      <c r="BB80" s="81"/>
      <c r="BC80" s="12"/>
      <c r="BD80" s="85"/>
      <c r="BE80" s="85"/>
      <c r="BF80" s="12"/>
      <c r="BG80" s="12"/>
      <c r="BH80" s="12"/>
      <c r="BI80" s="12"/>
      <c r="BJ80" s="12"/>
      <c r="BK80" s="6" t="s">
        <v>53</v>
      </c>
    </row>
    <row r="81" spans="1:63" x14ac:dyDescent="0.2">
      <c r="A81" s="1">
        <v>78</v>
      </c>
      <c r="B81" s="12" t="s">
        <v>63</v>
      </c>
      <c r="C81" s="1" t="s">
        <v>45</v>
      </c>
      <c r="D81" s="1" t="s">
        <v>143</v>
      </c>
      <c r="E81" s="20">
        <v>21.48</v>
      </c>
      <c r="F81" s="10">
        <v>1949.8</v>
      </c>
      <c r="G81" s="10">
        <v>2004.3</v>
      </c>
      <c r="H81" s="20" t="s">
        <v>47</v>
      </c>
      <c r="I81" s="1">
        <v>1.99</v>
      </c>
      <c r="J81" s="1">
        <v>2.19</v>
      </c>
      <c r="K81" s="21">
        <v>1.0257000000000001</v>
      </c>
      <c r="L81" s="21">
        <v>1.38E-2</v>
      </c>
      <c r="M81" s="10">
        <v>18.2</v>
      </c>
      <c r="N81" s="22">
        <v>13.8</v>
      </c>
      <c r="O81" s="18">
        <f>(M81-M80*(1-R81/100))*100/R81</f>
        <v>13.745151199165806</v>
      </c>
      <c r="P81" s="19">
        <f>(K81-K80*(1-R81/100))*100/R81</f>
        <v>1.0212109489051098</v>
      </c>
      <c r="Q81" s="23">
        <v>15.3</v>
      </c>
      <c r="R81" s="24">
        <v>95.9</v>
      </c>
      <c r="S81" s="22">
        <v>42.6</v>
      </c>
      <c r="T81" s="22">
        <v>35.799999999999997</v>
      </c>
      <c r="U81" s="1">
        <f t="shared" si="1"/>
        <v>6.8000000000000043</v>
      </c>
      <c r="V81" s="1" t="s">
        <v>48</v>
      </c>
      <c r="W81" s="1" t="s">
        <v>49</v>
      </c>
      <c r="X81" s="12" t="s">
        <v>81</v>
      </c>
      <c r="Y81" s="13" t="s">
        <v>51</v>
      </c>
      <c r="Z81" s="12"/>
      <c r="AA81" s="1" t="s">
        <v>51</v>
      </c>
      <c r="AB81" s="1" t="s">
        <v>143</v>
      </c>
      <c r="AC81" s="14" t="s">
        <v>52</v>
      </c>
      <c r="AD81" s="25">
        <v>10</v>
      </c>
      <c r="AE81" s="25" t="s">
        <v>52</v>
      </c>
      <c r="AF81" s="15">
        <f>G81-AD81</f>
        <v>1994.3</v>
      </c>
      <c r="AG81" s="15">
        <f>G81</f>
        <v>2004.3</v>
      </c>
      <c r="AH81" s="12"/>
      <c r="AI81" s="12"/>
      <c r="AJ81" s="12"/>
      <c r="AK81" s="12"/>
      <c r="AL81" s="12"/>
      <c r="AM81" s="12"/>
      <c r="AN81" s="12"/>
      <c r="AO81" s="69"/>
      <c r="AP81" s="69"/>
      <c r="AQ81" s="12"/>
      <c r="AR81" s="72"/>
      <c r="AS81" s="72"/>
      <c r="AT81" s="12"/>
      <c r="AU81" s="78"/>
      <c r="AV81" s="78"/>
      <c r="AW81" s="12"/>
      <c r="AX81" s="75"/>
      <c r="AY81" s="75"/>
      <c r="AZ81" s="12"/>
      <c r="BA81" s="81"/>
      <c r="BB81" s="81"/>
      <c r="BC81" s="12"/>
      <c r="BD81" s="85"/>
      <c r="BE81" s="85"/>
      <c r="BF81" s="12"/>
      <c r="BG81" s="12"/>
      <c r="BH81" s="12"/>
      <c r="BI81" s="12"/>
      <c r="BJ81" s="12"/>
      <c r="BK81" s="6" t="s">
        <v>53</v>
      </c>
    </row>
    <row r="82" spans="1:63" x14ac:dyDescent="0.2">
      <c r="A82" s="1">
        <v>79</v>
      </c>
      <c r="B82" s="12" t="s">
        <v>63</v>
      </c>
      <c r="C82" s="1" t="s">
        <v>45</v>
      </c>
      <c r="D82" s="1" t="s">
        <v>144</v>
      </c>
      <c r="E82" s="20">
        <v>18.64</v>
      </c>
      <c r="F82" s="10">
        <v>1948.9</v>
      </c>
      <c r="G82" s="10">
        <v>2008.1</v>
      </c>
      <c r="H82" s="20" t="s">
        <v>69</v>
      </c>
      <c r="I82" s="1">
        <v>1.98</v>
      </c>
      <c r="J82" s="1">
        <v>2.4</v>
      </c>
      <c r="K82" s="21">
        <v>1.0185</v>
      </c>
      <c r="L82" s="21">
        <v>1.46E-2</v>
      </c>
      <c r="M82" s="28">
        <v>10.984247166222705</v>
      </c>
      <c r="N82" s="22">
        <v>14.6</v>
      </c>
      <c r="O82" s="28">
        <v>10.984247166222705</v>
      </c>
      <c r="P82" s="66">
        <f>(K82-1.098295065*(1-R82/100))*100/R82</f>
        <v>1.0160321113917525</v>
      </c>
      <c r="Q82" s="23">
        <v>10.199999999999999</v>
      </c>
      <c r="R82" s="24">
        <v>97</v>
      </c>
      <c r="S82" s="22">
        <v>19</v>
      </c>
      <c r="T82" s="22">
        <v>14.3</v>
      </c>
      <c r="U82" s="1">
        <f t="shared" si="1"/>
        <v>4.6999999999999993</v>
      </c>
      <c r="V82" s="1" t="s">
        <v>48</v>
      </c>
      <c r="W82" s="1" t="s">
        <v>49</v>
      </c>
      <c r="X82" s="12" t="s">
        <v>145</v>
      </c>
      <c r="Y82" s="13" t="s">
        <v>51</v>
      </c>
      <c r="Z82" s="12"/>
      <c r="AA82" s="1" t="s">
        <v>51</v>
      </c>
      <c r="AB82" s="1" t="s">
        <v>144</v>
      </c>
      <c r="AC82" s="14" t="s">
        <v>52</v>
      </c>
      <c r="AD82" s="25">
        <v>40</v>
      </c>
      <c r="AE82" s="25" t="s">
        <v>52</v>
      </c>
      <c r="AF82" s="15">
        <f>G82-AD82</f>
        <v>1968.1</v>
      </c>
      <c r="AG82" s="15">
        <f>G82</f>
        <v>2008.1</v>
      </c>
      <c r="AH82" s="12"/>
      <c r="AI82" s="12"/>
      <c r="AJ82" s="12"/>
      <c r="AK82" s="12"/>
      <c r="AL82" s="12"/>
      <c r="AM82" s="12"/>
      <c r="AN82" s="12"/>
      <c r="AO82" s="69"/>
      <c r="AP82" s="69"/>
      <c r="AQ82" s="12"/>
      <c r="AR82" s="72"/>
      <c r="AS82" s="72"/>
      <c r="AT82" s="12"/>
      <c r="AU82" s="78"/>
      <c r="AV82" s="78"/>
      <c r="AW82" s="12"/>
      <c r="AX82" s="75"/>
      <c r="AY82" s="75"/>
      <c r="AZ82" s="12"/>
      <c r="BA82" s="81"/>
      <c r="BB82" s="81"/>
      <c r="BC82" s="12"/>
      <c r="BD82" s="85"/>
      <c r="BE82" s="85"/>
      <c r="BF82" s="12"/>
      <c r="BG82" s="12"/>
      <c r="BH82" s="12"/>
      <c r="BI82" s="12"/>
      <c r="BJ82" s="12"/>
      <c r="BK82" s="6" t="s">
        <v>53</v>
      </c>
    </row>
    <row r="83" spans="1:63" s="92" customFormat="1" x14ac:dyDescent="0.2">
      <c r="A83" s="86">
        <v>80</v>
      </c>
      <c r="B83" s="87" t="s">
        <v>44</v>
      </c>
      <c r="C83" s="86" t="s">
        <v>45</v>
      </c>
      <c r="D83" s="87" t="s">
        <v>146</v>
      </c>
      <c r="E83" s="88">
        <v>22.275309917355372</v>
      </c>
      <c r="F83" s="86">
        <v>1933.5</v>
      </c>
      <c r="G83" s="86">
        <v>2005</v>
      </c>
      <c r="H83" s="86" t="s">
        <v>69</v>
      </c>
      <c r="I83" s="86"/>
      <c r="J83" s="86"/>
      <c r="K83" s="86">
        <v>1.0521040235886583</v>
      </c>
      <c r="L83" s="86">
        <v>2.3631735197665624E-2</v>
      </c>
      <c r="M83" s="86">
        <v>45.12765267190688</v>
      </c>
      <c r="N83" s="86">
        <v>23.631735197665623</v>
      </c>
      <c r="O83" s="163">
        <v>45.12765267190688</v>
      </c>
      <c r="P83" s="66">
        <f>(K83-1.1076085*(1-R83/100))*100/R83</f>
        <v>1.0503873902975858</v>
      </c>
      <c r="Q83" s="86">
        <v>43</v>
      </c>
      <c r="R83" s="90">
        <v>97</v>
      </c>
      <c r="S83" s="86">
        <v>52</v>
      </c>
      <c r="T83" s="86">
        <v>47</v>
      </c>
      <c r="U83" s="86">
        <f t="shared" si="1"/>
        <v>5</v>
      </c>
      <c r="V83" s="86" t="s">
        <v>147</v>
      </c>
      <c r="W83" s="86" t="s">
        <v>56</v>
      </c>
      <c r="X83" s="91" t="s">
        <v>148</v>
      </c>
      <c r="Y83" s="86" t="s">
        <v>58</v>
      </c>
      <c r="Z83" s="91"/>
      <c r="AA83" s="91"/>
      <c r="AB83" s="87" t="s">
        <v>146</v>
      </c>
      <c r="AC83" s="86" t="s">
        <v>153</v>
      </c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6"/>
      <c r="BK83" s="86" t="s">
        <v>149</v>
      </c>
    </row>
    <row r="84" spans="1:63" s="92" customFormat="1" x14ac:dyDescent="0.2">
      <c r="A84" s="86">
        <v>81</v>
      </c>
      <c r="B84" s="93" t="s">
        <v>63</v>
      </c>
      <c r="C84" s="91" t="s">
        <v>54</v>
      </c>
      <c r="D84" s="91" t="s">
        <v>150</v>
      </c>
      <c r="E84" s="88">
        <v>23.450918219051392</v>
      </c>
      <c r="F84" s="94">
        <v>1937.9</v>
      </c>
      <c r="G84" s="91">
        <v>2007.8</v>
      </c>
      <c r="H84" s="95" t="s">
        <v>47</v>
      </c>
      <c r="I84" s="91">
        <v>1.98</v>
      </c>
      <c r="J84" s="91">
        <v>2.21</v>
      </c>
      <c r="K84" s="96">
        <v>1.0565073077167981</v>
      </c>
      <c r="L84" s="96">
        <v>1.6200000000000003E-2</v>
      </c>
      <c r="M84" s="88">
        <v>48.486386857339525</v>
      </c>
      <c r="N84" s="97">
        <v>16.200000000000003</v>
      </c>
      <c r="O84" s="28">
        <v>48.486386857339525</v>
      </c>
      <c r="P84" s="164">
        <v>1.0565073077167981</v>
      </c>
      <c r="Q84" s="91">
        <v>55.48</v>
      </c>
      <c r="R84" s="98">
        <v>100</v>
      </c>
      <c r="S84" s="94">
        <v>27.95</v>
      </c>
      <c r="T84" s="88">
        <v>26.887686062246278</v>
      </c>
      <c r="U84" s="86">
        <f t="shared" si="1"/>
        <v>1.0623139377537214</v>
      </c>
      <c r="V84" s="86" t="s">
        <v>151</v>
      </c>
      <c r="W84" s="86" t="s">
        <v>56</v>
      </c>
      <c r="X84" s="86" t="s">
        <v>152</v>
      </c>
      <c r="Y84" s="86" t="s">
        <v>51</v>
      </c>
      <c r="Z84" s="86"/>
      <c r="AA84" s="86" t="s">
        <v>51</v>
      </c>
      <c r="AB84" s="91" t="s">
        <v>150</v>
      </c>
      <c r="AC84" s="86" t="s">
        <v>160</v>
      </c>
      <c r="AD84" s="99">
        <f>AG84-AF84</f>
        <v>25.5</v>
      </c>
      <c r="AE84" s="86" t="s">
        <v>153</v>
      </c>
      <c r="AF84" s="94">
        <v>1982.3</v>
      </c>
      <c r="AG84" s="94">
        <f>G84</f>
        <v>2007.8</v>
      </c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 t="s">
        <v>149</v>
      </c>
    </row>
    <row r="85" spans="1:63" s="92" customFormat="1" x14ac:dyDescent="0.2">
      <c r="A85" s="86">
        <v>82</v>
      </c>
      <c r="B85" s="87" t="s">
        <v>44</v>
      </c>
      <c r="C85" s="86" t="s">
        <v>54</v>
      </c>
      <c r="D85" s="87" t="s">
        <v>154</v>
      </c>
      <c r="E85" s="88">
        <v>21.736505252988767</v>
      </c>
      <c r="F85" s="86">
        <v>1949.3</v>
      </c>
      <c r="G85" s="86">
        <v>2008.1</v>
      </c>
      <c r="H85" s="86" t="s">
        <v>47</v>
      </c>
      <c r="I85" s="86">
        <v>1.99</v>
      </c>
      <c r="J85" s="86">
        <v>2.48</v>
      </c>
      <c r="K85" s="86">
        <v>1.0623</v>
      </c>
      <c r="L85" s="86">
        <v>1.44E-2</v>
      </c>
      <c r="M85" s="86">
        <v>54.5</v>
      </c>
      <c r="N85" s="86">
        <v>14</v>
      </c>
      <c r="O85" s="11">
        <v>54.5</v>
      </c>
      <c r="P85" s="16">
        <v>1.0623</v>
      </c>
      <c r="Q85" s="86">
        <v>19.2</v>
      </c>
      <c r="R85" s="98">
        <v>100</v>
      </c>
      <c r="S85" s="86">
        <v>16.23</v>
      </c>
      <c r="T85" s="86">
        <v>14.9</v>
      </c>
      <c r="U85" s="86">
        <f t="shared" si="1"/>
        <v>1.33</v>
      </c>
      <c r="V85" s="86" t="s">
        <v>48</v>
      </c>
      <c r="W85" s="87" t="s">
        <v>49</v>
      </c>
      <c r="X85" s="86" t="s">
        <v>155</v>
      </c>
      <c r="Y85" s="86" t="s">
        <v>58</v>
      </c>
      <c r="Z85" s="86"/>
      <c r="AA85" s="86"/>
      <c r="AB85" s="87" t="s">
        <v>154</v>
      </c>
      <c r="AC85" s="86" t="s">
        <v>160</v>
      </c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6"/>
      <c r="BE85" s="86"/>
      <c r="BF85" s="86"/>
      <c r="BG85" s="86"/>
      <c r="BH85" s="86"/>
      <c r="BI85" s="86"/>
      <c r="BJ85" s="86" t="s">
        <v>156</v>
      </c>
      <c r="BK85" s="86" t="s">
        <v>149</v>
      </c>
    </row>
    <row r="86" spans="1:63" s="92" customFormat="1" x14ac:dyDescent="0.2">
      <c r="A86" s="86">
        <v>83</v>
      </c>
      <c r="B86" s="87" t="s">
        <v>44</v>
      </c>
      <c r="C86" s="86" t="s">
        <v>45</v>
      </c>
      <c r="D86" s="87" t="s">
        <v>154</v>
      </c>
      <c r="E86" s="88">
        <v>21.736505252988767</v>
      </c>
      <c r="F86" s="86">
        <v>1949.3</v>
      </c>
      <c r="G86" s="86">
        <v>2008.1</v>
      </c>
      <c r="H86" s="86" t="s">
        <v>47</v>
      </c>
      <c r="I86" s="86">
        <v>1.98</v>
      </c>
      <c r="J86" s="86">
        <v>2.2999999999999998</v>
      </c>
      <c r="K86" s="86">
        <v>1.0224</v>
      </c>
      <c r="L86" s="86">
        <v>1.6199999999999999E-2</v>
      </c>
      <c r="M86" s="86">
        <v>14.9</v>
      </c>
      <c r="N86" s="86">
        <v>16</v>
      </c>
      <c r="O86" s="18">
        <f>(M86-M85*(1-R86/100))*100/R86</f>
        <v>14.215157680569684</v>
      </c>
      <c r="P86" s="19">
        <f>(K86-K85*(1-R86/100))*100/R86</f>
        <v>1.02170996948118</v>
      </c>
      <c r="Q86" s="86">
        <v>19.2</v>
      </c>
      <c r="R86" s="90">
        <v>98.3</v>
      </c>
      <c r="S86" s="86">
        <v>26.82</v>
      </c>
      <c r="T86" s="86">
        <v>22.5</v>
      </c>
      <c r="U86" s="86">
        <f t="shared" si="1"/>
        <v>4.32</v>
      </c>
      <c r="V86" s="86" t="s">
        <v>48</v>
      </c>
      <c r="W86" s="87" t="s">
        <v>49</v>
      </c>
      <c r="X86" s="86" t="s">
        <v>155</v>
      </c>
      <c r="Y86" s="86" t="s">
        <v>58</v>
      </c>
      <c r="Z86" s="86"/>
      <c r="AA86" s="86"/>
      <c r="AB86" s="87" t="s">
        <v>154</v>
      </c>
      <c r="AC86" s="86" t="s">
        <v>160</v>
      </c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6"/>
      <c r="BE86" s="86"/>
      <c r="BF86" s="86"/>
      <c r="BG86" s="86"/>
      <c r="BH86" s="86"/>
      <c r="BI86" s="86"/>
      <c r="BJ86" s="86" t="s">
        <v>156</v>
      </c>
      <c r="BK86" s="86" t="s">
        <v>149</v>
      </c>
    </row>
    <row r="87" spans="1:63" s="92" customFormat="1" x14ac:dyDescent="0.2">
      <c r="A87" s="86">
        <v>84</v>
      </c>
      <c r="B87" s="87" t="s">
        <v>44</v>
      </c>
      <c r="C87" s="86" t="s">
        <v>54</v>
      </c>
      <c r="D87" s="87" t="s">
        <v>157</v>
      </c>
      <c r="E87" s="88">
        <v>24.56931437160365</v>
      </c>
      <c r="F87" s="86">
        <v>1977.3</v>
      </c>
      <c r="G87" s="86">
        <v>2008.7</v>
      </c>
      <c r="H87" s="86" t="s">
        <v>47</v>
      </c>
      <c r="I87" s="86">
        <v>2</v>
      </c>
      <c r="J87" s="86">
        <v>2.34</v>
      </c>
      <c r="K87" s="86">
        <v>1.2418</v>
      </c>
      <c r="L87" s="86">
        <v>1.4E-2</v>
      </c>
      <c r="M87" s="86">
        <v>232.7</v>
      </c>
      <c r="N87" s="86">
        <v>14</v>
      </c>
      <c r="O87" s="11">
        <v>232.7</v>
      </c>
      <c r="P87" s="16">
        <v>1.2418</v>
      </c>
      <c r="Q87" s="86">
        <v>85.3</v>
      </c>
      <c r="R87" s="98">
        <v>100</v>
      </c>
      <c r="S87" s="86">
        <v>43.77</v>
      </c>
      <c r="T87" s="86">
        <v>38.9</v>
      </c>
      <c r="U87" s="86">
        <f t="shared" si="1"/>
        <v>4.8700000000000045</v>
      </c>
      <c r="V87" s="86" t="s">
        <v>147</v>
      </c>
      <c r="W87" s="86" t="s">
        <v>56</v>
      </c>
      <c r="X87" s="86" t="s">
        <v>158</v>
      </c>
      <c r="Y87" s="86" t="s">
        <v>58</v>
      </c>
      <c r="Z87" s="86"/>
      <c r="AA87" s="86"/>
      <c r="AB87" s="87" t="s">
        <v>157</v>
      </c>
      <c r="AC87" s="86" t="s">
        <v>160</v>
      </c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6"/>
      <c r="BE87" s="86"/>
      <c r="BF87" s="86"/>
      <c r="BG87" s="86"/>
      <c r="BH87" s="86"/>
      <c r="BI87" s="86"/>
      <c r="BJ87" s="86"/>
      <c r="BK87" s="86" t="s">
        <v>149</v>
      </c>
    </row>
    <row r="88" spans="1:63" s="92" customFormat="1" x14ac:dyDescent="0.2">
      <c r="A88" s="86">
        <v>85</v>
      </c>
      <c r="B88" s="87" t="s">
        <v>44</v>
      </c>
      <c r="C88" s="86" t="s">
        <v>45</v>
      </c>
      <c r="D88" s="87" t="s">
        <v>157</v>
      </c>
      <c r="E88" s="88">
        <v>24.56931437160365</v>
      </c>
      <c r="F88" s="86">
        <v>1977.3</v>
      </c>
      <c r="G88" s="86">
        <v>2008.7</v>
      </c>
      <c r="H88" s="86" t="s">
        <v>47</v>
      </c>
      <c r="I88" s="86">
        <v>1.98</v>
      </c>
      <c r="J88" s="86">
        <v>2.31</v>
      </c>
      <c r="K88" s="86">
        <v>1.3305</v>
      </c>
      <c r="L88" s="86">
        <v>1.9599999999999999E-2</v>
      </c>
      <c r="M88" s="86">
        <v>320.7</v>
      </c>
      <c r="N88" s="86">
        <v>20</v>
      </c>
      <c r="O88" s="18">
        <f>(M88-M87*(1-R88/100))*100/R88</f>
        <v>334.19942329873123</v>
      </c>
      <c r="P88" s="19">
        <f>(K88-K87*(1-R88/100))*100/R88</f>
        <v>1.3441068050749712</v>
      </c>
      <c r="Q88" s="86">
        <v>16.399999999999999</v>
      </c>
      <c r="R88" s="90">
        <v>86.7</v>
      </c>
      <c r="S88" s="86">
        <v>23.35</v>
      </c>
      <c r="T88" s="86">
        <v>20.6</v>
      </c>
      <c r="U88" s="86">
        <f t="shared" si="1"/>
        <v>2.75</v>
      </c>
      <c r="V88" s="86" t="s">
        <v>147</v>
      </c>
      <c r="W88" s="86" t="s">
        <v>56</v>
      </c>
      <c r="X88" s="86" t="s">
        <v>158</v>
      </c>
      <c r="Y88" s="86" t="s">
        <v>58</v>
      </c>
      <c r="Z88" s="86"/>
      <c r="AA88" s="86"/>
      <c r="AB88" s="87" t="s">
        <v>157</v>
      </c>
      <c r="AC88" s="86" t="s">
        <v>160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6"/>
      <c r="BE88" s="86"/>
      <c r="BF88" s="86"/>
      <c r="BG88" s="86"/>
      <c r="BH88" s="86"/>
      <c r="BI88" s="86"/>
      <c r="BJ88" s="86"/>
      <c r="BK88" s="86" t="s">
        <v>149</v>
      </c>
    </row>
    <row r="89" spans="1:63" s="92" customFormat="1" x14ac:dyDescent="0.2">
      <c r="A89" s="86">
        <v>86</v>
      </c>
      <c r="B89" s="87" t="s">
        <v>44</v>
      </c>
      <c r="C89" s="86" t="s">
        <v>54</v>
      </c>
      <c r="D89" s="87" t="s">
        <v>159</v>
      </c>
      <c r="E89" s="88">
        <v>27.434842249657059</v>
      </c>
      <c r="F89" s="86">
        <v>1943.9</v>
      </c>
      <c r="G89" s="86">
        <v>2009.2</v>
      </c>
      <c r="H89" s="86" t="s">
        <v>47</v>
      </c>
      <c r="I89" s="86" t="s">
        <v>59</v>
      </c>
      <c r="J89" s="86" t="s">
        <v>59</v>
      </c>
      <c r="K89" s="86">
        <v>1.052</v>
      </c>
      <c r="L89" s="86">
        <v>1.4E-2</v>
      </c>
      <c r="M89" s="86">
        <v>44.2</v>
      </c>
      <c r="N89" s="86">
        <v>13.831306570612426</v>
      </c>
      <c r="O89" s="163">
        <v>44.2</v>
      </c>
      <c r="P89" s="16">
        <v>1.052</v>
      </c>
      <c r="Q89" s="100">
        <v>36.21</v>
      </c>
      <c r="R89" s="98">
        <v>100</v>
      </c>
      <c r="S89" s="86">
        <v>18.600000000000001</v>
      </c>
      <c r="T89" s="86">
        <v>18</v>
      </c>
      <c r="U89" s="86">
        <f t="shared" si="1"/>
        <v>0.60000000000000142</v>
      </c>
      <c r="V89" s="86" t="s">
        <v>48</v>
      </c>
      <c r="W89" s="86" t="s">
        <v>49</v>
      </c>
      <c r="X89" s="86" t="s">
        <v>155</v>
      </c>
      <c r="Y89" s="86" t="s">
        <v>51</v>
      </c>
      <c r="Z89" s="86"/>
      <c r="AA89" s="86" t="s">
        <v>51</v>
      </c>
      <c r="AB89" s="87" t="s">
        <v>159</v>
      </c>
      <c r="AC89" s="86" t="s">
        <v>160</v>
      </c>
      <c r="AD89" s="86">
        <v>20</v>
      </c>
      <c r="AE89" s="86" t="s">
        <v>160</v>
      </c>
      <c r="AF89" s="94">
        <f>G89-AD89</f>
        <v>1989.2</v>
      </c>
      <c r="AG89" s="94">
        <f>G89</f>
        <v>2009.2</v>
      </c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6"/>
      <c r="BE89" s="86"/>
      <c r="BF89" s="86"/>
      <c r="BG89" s="86"/>
      <c r="BH89" s="86"/>
      <c r="BI89" s="86"/>
      <c r="BJ89" s="86" t="s">
        <v>161</v>
      </c>
      <c r="BK89" s="86" t="s">
        <v>149</v>
      </c>
    </row>
    <row r="90" spans="1:63" s="92" customFormat="1" x14ac:dyDescent="0.2">
      <c r="A90" s="86">
        <v>87</v>
      </c>
      <c r="B90" s="87" t="s">
        <v>44</v>
      </c>
      <c r="C90" s="86" t="s">
        <v>54</v>
      </c>
      <c r="D90" s="87" t="s">
        <v>162</v>
      </c>
      <c r="E90" s="88">
        <v>34.838147771810135</v>
      </c>
      <c r="F90" s="86">
        <v>1933.1</v>
      </c>
      <c r="G90" s="86">
        <v>2009.3</v>
      </c>
      <c r="H90" s="86" t="s">
        <v>47</v>
      </c>
      <c r="I90" s="86" t="s">
        <v>59</v>
      </c>
      <c r="J90" s="86" t="s">
        <v>59</v>
      </c>
      <c r="K90" s="86">
        <v>1.07</v>
      </c>
      <c r="L90" s="86">
        <v>1.6E-2</v>
      </c>
      <c r="M90" s="86">
        <v>62.1</v>
      </c>
      <c r="N90" s="86">
        <v>15.84893750040974</v>
      </c>
      <c r="O90" s="163">
        <v>62.1</v>
      </c>
      <c r="P90" s="16">
        <v>1.07</v>
      </c>
      <c r="Q90" s="100">
        <v>103.69</v>
      </c>
      <c r="R90" s="98">
        <v>100</v>
      </c>
      <c r="S90" s="86">
        <v>14.2</v>
      </c>
      <c r="T90" s="86">
        <v>11.9</v>
      </c>
      <c r="U90" s="86">
        <f t="shared" si="1"/>
        <v>2.2999999999999989</v>
      </c>
      <c r="V90" s="86" t="s">
        <v>48</v>
      </c>
      <c r="W90" s="91" t="s">
        <v>49</v>
      </c>
      <c r="X90" s="86" t="s">
        <v>147</v>
      </c>
      <c r="Y90" s="91" t="s">
        <v>58</v>
      </c>
      <c r="Z90" s="86"/>
      <c r="AA90" s="86"/>
      <c r="AB90" s="87" t="s">
        <v>162</v>
      </c>
      <c r="AC90" s="86" t="s">
        <v>160</v>
      </c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86"/>
      <c r="AW90" s="86"/>
      <c r="AX90" s="86"/>
      <c r="AY90" s="86"/>
      <c r="AZ90" s="86"/>
      <c r="BA90" s="86"/>
      <c r="BB90" s="86"/>
      <c r="BC90" s="86"/>
      <c r="BD90" s="86"/>
      <c r="BE90" s="86"/>
      <c r="BF90" s="86"/>
      <c r="BG90" s="86"/>
      <c r="BH90" s="86"/>
      <c r="BI90" s="86"/>
      <c r="BJ90" s="86" t="s">
        <v>163</v>
      </c>
      <c r="BK90" s="86" t="s">
        <v>149</v>
      </c>
    </row>
    <row r="91" spans="1:63" s="92" customFormat="1" x14ac:dyDescent="0.2">
      <c r="A91" s="86">
        <v>88</v>
      </c>
      <c r="B91" s="87" t="s">
        <v>44</v>
      </c>
      <c r="C91" s="86" t="s">
        <v>45</v>
      </c>
      <c r="D91" s="87" t="s">
        <v>164</v>
      </c>
      <c r="E91" s="88">
        <v>32.699167657550532</v>
      </c>
      <c r="F91" s="86">
        <v>1942.3</v>
      </c>
      <c r="G91" s="86">
        <v>2009.8</v>
      </c>
      <c r="H91" s="86" t="s">
        <v>47</v>
      </c>
      <c r="I91" s="86" t="s">
        <v>59</v>
      </c>
      <c r="J91" s="86" t="s">
        <v>59</v>
      </c>
      <c r="K91" s="86">
        <v>1.0096000000000001</v>
      </c>
      <c r="L91" s="86">
        <v>1.6E-2</v>
      </c>
      <c r="M91" s="86">
        <v>2.2000000000000002</v>
      </c>
      <c r="N91" s="86">
        <v>15.9048807404243</v>
      </c>
      <c r="O91" s="11">
        <v>2.2000000000000002</v>
      </c>
      <c r="P91" s="66">
        <f>(K91-1.094438252*(1-R91/100))*100/R91</f>
        <v>1.0069761365360825</v>
      </c>
      <c r="Q91" s="100">
        <v>11.62</v>
      </c>
      <c r="R91" s="98">
        <v>97</v>
      </c>
      <c r="S91" s="86">
        <v>16.5</v>
      </c>
      <c r="T91" s="86">
        <v>12.3</v>
      </c>
      <c r="U91" s="86">
        <f t="shared" si="1"/>
        <v>4.1999999999999993</v>
      </c>
      <c r="V91" s="86" t="s">
        <v>48</v>
      </c>
      <c r="W91" s="86" t="s">
        <v>59</v>
      </c>
      <c r="X91" s="86" t="s">
        <v>165</v>
      </c>
      <c r="Y91" s="86" t="s">
        <v>51</v>
      </c>
      <c r="Z91" s="86" t="s">
        <v>166</v>
      </c>
      <c r="AA91" s="86" t="s">
        <v>51</v>
      </c>
      <c r="AB91" s="87" t="s">
        <v>164</v>
      </c>
      <c r="AC91" s="86" t="s">
        <v>160</v>
      </c>
      <c r="AD91" s="86">
        <v>40</v>
      </c>
      <c r="AE91" s="86" t="s">
        <v>160</v>
      </c>
      <c r="AF91" s="94">
        <f>G91-AD91</f>
        <v>1969.8</v>
      </c>
      <c r="AG91" s="94">
        <f>G91</f>
        <v>2009.8</v>
      </c>
      <c r="AH91" s="86">
        <v>1</v>
      </c>
      <c r="AI91" s="86" t="s">
        <v>160</v>
      </c>
      <c r="AJ91" s="86">
        <f>AO91</f>
        <v>2005.8</v>
      </c>
      <c r="AK91" s="86">
        <f>AJ91+1</f>
        <v>2006.8</v>
      </c>
      <c r="AL91" s="86" t="s">
        <v>44</v>
      </c>
      <c r="AM91" s="86"/>
      <c r="AN91" s="86" t="s">
        <v>44</v>
      </c>
      <c r="AO91" s="86">
        <v>2005.8</v>
      </c>
      <c r="AP91" s="86">
        <f>AO91+BI91</f>
        <v>2009.8</v>
      </c>
      <c r="AQ91" s="86"/>
      <c r="AR91" s="86"/>
      <c r="AS91" s="86"/>
      <c r="AT91" s="86"/>
      <c r="AU91" s="86"/>
      <c r="AV91" s="86"/>
      <c r="AW91" s="86"/>
      <c r="AX91" s="86"/>
      <c r="AY91" s="86"/>
      <c r="AZ91" s="86"/>
      <c r="BA91" s="86"/>
      <c r="BB91" s="86"/>
      <c r="BC91" s="86"/>
      <c r="BD91" s="86"/>
      <c r="BE91" s="86"/>
      <c r="BF91" s="86" t="s">
        <v>182</v>
      </c>
      <c r="BG91" s="86">
        <v>2005.8</v>
      </c>
      <c r="BH91" s="86">
        <f>G91</f>
        <v>2009.8</v>
      </c>
      <c r="BI91" s="86">
        <f>BH91-BG91</f>
        <v>4</v>
      </c>
      <c r="BJ91" s="86" t="s">
        <v>167</v>
      </c>
      <c r="BK91" s="86" t="s">
        <v>149</v>
      </c>
    </row>
    <row r="92" spans="1:63" s="92" customFormat="1" x14ac:dyDescent="0.2">
      <c r="A92" s="86">
        <v>89</v>
      </c>
      <c r="B92" s="86" t="s">
        <v>63</v>
      </c>
      <c r="C92" s="86" t="s">
        <v>54</v>
      </c>
      <c r="D92" s="101" t="s">
        <v>168</v>
      </c>
      <c r="E92" s="88">
        <v>21.383941996057334</v>
      </c>
      <c r="F92" s="86">
        <v>1950.2</v>
      </c>
      <c r="G92" s="86">
        <v>2009.8</v>
      </c>
      <c r="H92" s="86" t="s">
        <v>47</v>
      </c>
      <c r="I92" s="86">
        <v>1.99</v>
      </c>
      <c r="J92" s="86">
        <v>2.33</v>
      </c>
      <c r="K92" s="96">
        <v>1.1161927060491408</v>
      </c>
      <c r="L92" s="96">
        <v>1.8599999999999998E-2</v>
      </c>
      <c r="M92" s="88">
        <v>107.71865831304606</v>
      </c>
      <c r="N92" s="97">
        <v>18.600000000000001</v>
      </c>
      <c r="O92" s="38">
        <v>107.71865831304606</v>
      </c>
      <c r="P92" s="165">
        <v>1.1161927060491408</v>
      </c>
      <c r="Q92" s="91">
        <v>98</v>
      </c>
      <c r="R92" s="98">
        <v>100</v>
      </c>
      <c r="S92" s="86">
        <v>51.783333333333331</v>
      </c>
      <c r="T92" s="88">
        <v>47.320703653585923</v>
      </c>
      <c r="U92" s="86">
        <f t="shared" si="1"/>
        <v>4.4626296797474083</v>
      </c>
      <c r="V92" s="86" t="s">
        <v>48</v>
      </c>
      <c r="W92" s="91" t="s">
        <v>59</v>
      </c>
      <c r="X92" s="86" t="s">
        <v>155</v>
      </c>
      <c r="Y92" s="91" t="s">
        <v>51</v>
      </c>
      <c r="Z92" s="86"/>
      <c r="AA92" s="91" t="s">
        <v>51</v>
      </c>
      <c r="AB92" s="101" t="s">
        <v>168</v>
      </c>
      <c r="AC92" s="86" t="s">
        <v>153</v>
      </c>
      <c r="AD92" s="99">
        <f>AG92-AF92</f>
        <v>3.3999999999998636</v>
      </c>
      <c r="AE92" s="86" t="s">
        <v>153</v>
      </c>
      <c r="AF92" s="94">
        <v>2006.4</v>
      </c>
      <c r="AG92" s="94">
        <f>G92</f>
        <v>2009.8</v>
      </c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  <c r="BE92" s="86"/>
      <c r="BF92" s="86"/>
      <c r="BG92" s="86"/>
      <c r="BH92" s="86"/>
      <c r="BI92" s="86"/>
      <c r="BJ92" s="86"/>
      <c r="BK92" s="86" t="s">
        <v>149</v>
      </c>
    </row>
    <row r="93" spans="1:63" s="92" customFormat="1" x14ac:dyDescent="0.2">
      <c r="A93" s="86">
        <v>90</v>
      </c>
      <c r="B93" s="86" t="s">
        <v>63</v>
      </c>
      <c r="C93" s="86" t="s">
        <v>45</v>
      </c>
      <c r="D93" s="101" t="s">
        <v>168</v>
      </c>
      <c r="E93" s="88">
        <v>21.383941996057334</v>
      </c>
      <c r="F93" s="86">
        <v>1950.2</v>
      </c>
      <c r="G93" s="86">
        <v>2009.8</v>
      </c>
      <c r="H93" s="86" t="s">
        <v>47</v>
      </c>
      <c r="I93" s="86">
        <v>1.95</v>
      </c>
      <c r="J93" s="86">
        <v>2.25</v>
      </c>
      <c r="K93" s="96">
        <v>0.99432283746513261</v>
      </c>
      <c r="L93" s="96">
        <v>1.7399999999999999E-2</v>
      </c>
      <c r="M93" s="88">
        <v>-13.225983759110104</v>
      </c>
      <c r="N93" s="97">
        <v>17.399999999999999</v>
      </c>
      <c r="O93" s="18">
        <f>(M93-M92*(1-R93/100))*100/R93</f>
        <v>-18.265343845449948</v>
      </c>
      <c r="P93" s="19">
        <f>(K93-K92*(1-R93/100))*100/R93</f>
        <v>0.9892449262741323</v>
      </c>
      <c r="Q93" s="91">
        <v>17.8</v>
      </c>
      <c r="R93" s="91">
        <v>96</v>
      </c>
      <c r="S93" s="86">
        <v>20.733333333333334</v>
      </c>
      <c r="T93" s="88">
        <v>17.640956247180874</v>
      </c>
      <c r="U93" s="86">
        <f t="shared" si="1"/>
        <v>3.0923770861524602</v>
      </c>
      <c r="V93" s="86" t="s">
        <v>48</v>
      </c>
      <c r="W93" s="91" t="s">
        <v>59</v>
      </c>
      <c r="X93" s="86" t="s">
        <v>155</v>
      </c>
      <c r="Y93" s="91" t="s">
        <v>51</v>
      </c>
      <c r="Z93" s="86"/>
      <c r="AA93" s="91" t="s">
        <v>51</v>
      </c>
      <c r="AB93" s="101" t="s">
        <v>168</v>
      </c>
      <c r="AC93" s="86" t="s">
        <v>153</v>
      </c>
      <c r="AD93" s="99">
        <f>AG93-AF93</f>
        <v>3.3999999999998636</v>
      </c>
      <c r="AE93" s="86" t="s">
        <v>153</v>
      </c>
      <c r="AF93" s="94">
        <v>2006.4</v>
      </c>
      <c r="AG93" s="94">
        <f>G93</f>
        <v>2009.8</v>
      </c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  <c r="BE93" s="86"/>
      <c r="BF93" s="86"/>
      <c r="BG93" s="86"/>
      <c r="BH93" s="86"/>
      <c r="BI93" s="86"/>
      <c r="BJ93" s="86"/>
      <c r="BK93" s="86" t="s">
        <v>149</v>
      </c>
    </row>
    <row r="94" spans="1:63" s="92" customFormat="1" x14ac:dyDescent="0.2">
      <c r="A94" s="86">
        <v>91</v>
      </c>
      <c r="B94" s="87" t="s">
        <v>44</v>
      </c>
      <c r="C94" s="86" t="s">
        <v>54</v>
      </c>
      <c r="D94" s="87" t="s">
        <v>169</v>
      </c>
      <c r="E94" s="88">
        <v>24.816326530612244</v>
      </c>
      <c r="F94" s="86">
        <v>1948.6</v>
      </c>
      <c r="G94" s="86">
        <v>2010.1</v>
      </c>
      <c r="H94" s="86" t="s">
        <v>47</v>
      </c>
      <c r="I94" s="86" t="s">
        <v>59</v>
      </c>
      <c r="J94" s="86" t="s">
        <v>59</v>
      </c>
      <c r="K94" s="86">
        <v>1.101</v>
      </c>
      <c r="L94" s="86">
        <v>2.5999999999999999E-2</v>
      </c>
      <c r="M94" s="86">
        <v>92.9</v>
      </c>
      <c r="N94" s="86">
        <v>25.80332809576899</v>
      </c>
      <c r="O94" s="166">
        <v>92.9</v>
      </c>
      <c r="P94" s="167">
        <v>1.101</v>
      </c>
      <c r="Q94" s="100">
        <v>36.6</v>
      </c>
      <c r="R94" s="98">
        <v>100</v>
      </c>
      <c r="S94" s="86">
        <v>15</v>
      </c>
      <c r="T94" s="86">
        <v>6.1</v>
      </c>
      <c r="U94" s="86">
        <f t="shared" si="1"/>
        <v>8.9</v>
      </c>
      <c r="V94" s="86" t="s">
        <v>147</v>
      </c>
      <c r="W94" s="86" t="s">
        <v>49</v>
      </c>
      <c r="X94" s="86" t="s">
        <v>170</v>
      </c>
      <c r="Y94" s="86" t="s">
        <v>51</v>
      </c>
      <c r="Z94" s="86"/>
      <c r="AA94" s="86" t="s">
        <v>51</v>
      </c>
      <c r="AB94" s="87" t="s">
        <v>169</v>
      </c>
      <c r="AC94" s="86" t="s">
        <v>160</v>
      </c>
      <c r="AD94" s="86">
        <v>10</v>
      </c>
      <c r="AE94" s="86" t="s">
        <v>160</v>
      </c>
      <c r="AF94" s="94">
        <f>G94-AD94</f>
        <v>2000.1</v>
      </c>
      <c r="AG94" s="94">
        <f>G94</f>
        <v>2010.1</v>
      </c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  <c r="BE94" s="86"/>
      <c r="BF94" s="86"/>
      <c r="BG94" s="86"/>
      <c r="BH94" s="86"/>
      <c r="BI94" s="86"/>
      <c r="BJ94" s="86"/>
      <c r="BK94" s="86" t="s">
        <v>149</v>
      </c>
    </row>
    <row r="95" spans="1:63" s="92" customFormat="1" x14ac:dyDescent="0.2">
      <c r="A95" s="86">
        <v>92</v>
      </c>
      <c r="B95" s="87" t="s">
        <v>44</v>
      </c>
      <c r="C95" s="86" t="s">
        <v>45</v>
      </c>
      <c r="D95" s="87" t="s">
        <v>169</v>
      </c>
      <c r="E95" s="88">
        <v>24.816326530612244</v>
      </c>
      <c r="F95" s="86">
        <v>1948.6</v>
      </c>
      <c r="G95" s="86">
        <v>2010.1</v>
      </c>
      <c r="H95" s="86" t="s">
        <v>47</v>
      </c>
      <c r="I95" s="86" t="s">
        <v>59</v>
      </c>
      <c r="J95" s="86" t="s">
        <v>59</v>
      </c>
      <c r="K95" s="86">
        <v>1.0226999999999999</v>
      </c>
      <c r="L95" s="86">
        <v>1.6E-2</v>
      </c>
      <c r="M95" s="86">
        <v>15.2</v>
      </c>
      <c r="N95" s="86">
        <v>15.901191064195995</v>
      </c>
      <c r="O95" s="18">
        <f>(M95-M94*(1-R95/100))*100/R95</f>
        <v>-5.4544303797468325</v>
      </c>
      <c r="P95" s="19">
        <f>(K95-K94*(1-R95/100))*100/R95</f>
        <v>1.0018860759493671</v>
      </c>
      <c r="Q95" s="100">
        <v>7.8</v>
      </c>
      <c r="R95" s="98">
        <v>79</v>
      </c>
      <c r="S95" s="86">
        <v>13.2</v>
      </c>
      <c r="T95" s="86">
        <v>10.8</v>
      </c>
      <c r="U95" s="86">
        <f t="shared" si="1"/>
        <v>2.3999999999999986</v>
      </c>
      <c r="V95" s="86" t="s">
        <v>147</v>
      </c>
      <c r="W95" s="86" t="s">
        <v>49</v>
      </c>
      <c r="X95" s="86" t="s">
        <v>170</v>
      </c>
      <c r="Y95" s="86" t="s">
        <v>51</v>
      </c>
      <c r="Z95" s="86"/>
      <c r="AA95" s="86" t="s">
        <v>51</v>
      </c>
      <c r="AB95" s="87" t="s">
        <v>169</v>
      </c>
      <c r="AC95" s="86" t="s">
        <v>160</v>
      </c>
      <c r="AD95" s="86">
        <v>10</v>
      </c>
      <c r="AE95" s="86" t="s">
        <v>160</v>
      </c>
      <c r="AF95" s="94">
        <f>G95-AD95</f>
        <v>2000.1</v>
      </c>
      <c r="AG95" s="94">
        <f>G95</f>
        <v>2010.1</v>
      </c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  <c r="BE95" s="86"/>
      <c r="BF95" s="86"/>
      <c r="BG95" s="86"/>
      <c r="BH95" s="86"/>
      <c r="BI95" s="86"/>
      <c r="BJ95" s="86"/>
      <c r="BK95" s="86" t="s">
        <v>149</v>
      </c>
    </row>
    <row r="96" spans="1:63" s="92" customFormat="1" x14ac:dyDescent="0.2">
      <c r="A96" s="86">
        <v>93</v>
      </c>
      <c r="B96" s="87" t="s">
        <v>44</v>
      </c>
      <c r="C96" s="86" t="s">
        <v>54</v>
      </c>
      <c r="D96" s="87" t="s">
        <v>171</v>
      </c>
      <c r="E96" s="88">
        <v>27.763429752066116</v>
      </c>
      <c r="F96" s="86">
        <v>1935.7</v>
      </c>
      <c r="G96" s="86">
        <v>2010.1</v>
      </c>
      <c r="H96" s="86" t="s">
        <v>47</v>
      </c>
      <c r="I96" s="86" t="s">
        <v>59</v>
      </c>
      <c r="J96" s="86" t="s">
        <v>59</v>
      </c>
      <c r="K96" s="86">
        <v>1.0779000000000001</v>
      </c>
      <c r="L96" s="86">
        <v>1.2E-2</v>
      </c>
      <c r="M96" s="86">
        <v>70</v>
      </c>
      <c r="N96" s="86">
        <v>11.936425504446561</v>
      </c>
      <c r="O96" s="166">
        <v>70</v>
      </c>
      <c r="P96" s="167">
        <v>1.0779000000000001</v>
      </c>
      <c r="Q96" s="100">
        <v>78.349999999999994</v>
      </c>
      <c r="R96" s="98">
        <v>100</v>
      </c>
      <c r="S96" s="86">
        <v>32.5</v>
      </c>
      <c r="T96" s="86">
        <v>28.3</v>
      </c>
      <c r="U96" s="86">
        <f t="shared" si="1"/>
        <v>4.1999999999999993</v>
      </c>
      <c r="V96" s="86" t="s">
        <v>48</v>
      </c>
      <c r="W96" s="86" t="s">
        <v>59</v>
      </c>
      <c r="X96" s="86" t="s">
        <v>155</v>
      </c>
      <c r="Y96" s="86" t="s">
        <v>58</v>
      </c>
      <c r="Z96" s="86"/>
      <c r="AA96" s="86"/>
      <c r="AB96" s="87" t="s">
        <v>171</v>
      </c>
      <c r="AC96" s="86" t="s">
        <v>160</v>
      </c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  <c r="BI96" s="86"/>
      <c r="BJ96" s="86"/>
      <c r="BK96" s="86" t="s">
        <v>149</v>
      </c>
    </row>
    <row r="97" spans="1:63" s="92" customFormat="1" x14ac:dyDescent="0.2">
      <c r="A97" s="86">
        <v>94</v>
      </c>
      <c r="B97" s="87" t="s">
        <v>44</v>
      </c>
      <c r="C97" s="86" t="s">
        <v>45</v>
      </c>
      <c r="D97" s="87" t="s">
        <v>171</v>
      </c>
      <c r="E97" s="88">
        <v>27.763429752066116</v>
      </c>
      <c r="F97" s="86">
        <v>1935.7</v>
      </c>
      <c r="G97" s="86">
        <v>2010.1</v>
      </c>
      <c r="H97" s="86" t="s">
        <v>47</v>
      </c>
      <c r="I97" s="86" t="s">
        <v>59</v>
      </c>
      <c r="J97" s="86" t="s">
        <v>59</v>
      </c>
      <c r="K97" s="86">
        <v>1.0102</v>
      </c>
      <c r="L97" s="86">
        <v>2.4E-2</v>
      </c>
      <c r="M97" s="86">
        <v>2.7</v>
      </c>
      <c r="N97" s="86">
        <v>23.750476435392965</v>
      </c>
      <c r="O97" s="18">
        <f>(M97-M96*(1-R97/100))*100/R97</f>
        <v>0.61855670103092608</v>
      </c>
      <c r="P97" s="19">
        <f>(K97-K96*(1-R97/100))*100/R97</f>
        <v>1.0081061855670104</v>
      </c>
      <c r="Q97" s="100">
        <v>7.92</v>
      </c>
      <c r="R97" s="98">
        <v>97</v>
      </c>
      <c r="S97" s="86">
        <v>15</v>
      </c>
      <c r="T97" s="86">
        <v>4</v>
      </c>
      <c r="U97" s="86">
        <f t="shared" si="1"/>
        <v>11</v>
      </c>
      <c r="V97" s="86" t="s">
        <v>48</v>
      </c>
      <c r="W97" s="86" t="s">
        <v>59</v>
      </c>
      <c r="X97" s="86" t="s">
        <v>155</v>
      </c>
      <c r="Y97" s="86" t="s">
        <v>58</v>
      </c>
      <c r="Z97" s="86"/>
      <c r="AA97" s="86"/>
      <c r="AB97" s="87" t="s">
        <v>171</v>
      </c>
      <c r="AC97" s="86" t="s">
        <v>160</v>
      </c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86"/>
      <c r="AW97" s="86"/>
      <c r="AX97" s="86"/>
      <c r="AY97" s="86"/>
      <c r="AZ97" s="86"/>
      <c r="BA97" s="86"/>
      <c r="BB97" s="86"/>
      <c r="BC97" s="86"/>
      <c r="BD97" s="86"/>
      <c r="BE97" s="86"/>
      <c r="BF97" s="86"/>
      <c r="BG97" s="86"/>
      <c r="BH97" s="86"/>
      <c r="BI97" s="86"/>
      <c r="BJ97" s="86"/>
      <c r="BK97" s="86" t="s">
        <v>149</v>
      </c>
    </row>
    <row r="98" spans="1:63" s="92" customFormat="1" x14ac:dyDescent="0.2">
      <c r="A98" s="86">
        <v>95</v>
      </c>
      <c r="B98" s="87" t="s">
        <v>44</v>
      </c>
      <c r="C98" s="86" t="s">
        <v>54</v>
      </c>
      <c r="D98" s="87" t="s">
        <v>172</v>
      </c>
      <c r="E98" s="88">
        <v>20.679012345679013</v>
      </c>
      <c r="F98" s="86">
        <v>1985.6</v>
      </c>
      <c r="G98" s="86">
        <v>2010.4</v>
      </c>
      <c r="H98" s="86" t="s">
        <v>47</v>
      </c>
      <c r="I98" s="86" t="s">
        <v>59</v>
      </c>
      <c r="J98" s="86" t="s">
        <v>59</v>
      </c>
      <c r="K98" s="86">
        <v>1.1592</v>
      </c>
      <c r="L98" s="86">
        <v>8.0000000000000002E-3</v>
      </c>
      <c r="M98" s="86">
        <v>150.69999999999999</v>
      </c>
      <c r="N98" s="86">
        <v>7.9635453989296252</v>
      </c>
      <c r="O98" s="168">
        <v>150.69999999999999</v>
      </c>
      <c r="P98" s="167">
        <v>1.1592</v>
      </c>
      <c r="Q98" s="100">
        <v>121.25</v>
      </c>
      <c r="R98" s="98">
        <v>100</v>
      </c>
      <c r="S98" s="86">
        <v>165.9</v>
      </c>
      <c r="T98" s="86">
        <v>138.6</v>
      </c>
      <c r="U98" s="86">
        <f t="shared" si="1"/>
        <v>27.300000000000011</v>
      </c>
      <c r="V98" s="86" t="s">
        <v>48</v>
      </c>
      <c r="W98" s="86" t="s">
        <v>56</v>
      </c>
      <c r="X98" s="86" t="s">
        <v>165</v>
      </c>
      <c r="Y98" s="86" t="s">
        <v>58</v>
      </c>
      <c r="Z98" s="86"/>
      <c r="AA98" s="86"/>
      <c r="AB98" s="87" t="s">
        <v>172</v>
      </c>
      <c r="AC98" s="86" t="s">
        <v>160</v>
      </c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86"/>
      <c r="AW98" s="86"/>
      <c r="AX98" s="86"/>
      <c r="AY98" s="86"/>
      <c r="AZ98" s="86"/>
      <c r="BA98" s="86"/>
      <c r="BB98" s="86"/>
      <c r="BC98" s="86"/>
      <c r="BD98" s="86"/>
      <c r="BE98" s="86"/>
      <c r="BF98" s="86"/>
      <c r="BG98" s="86"/>
      <c r="BH98" s="86"/>
      <c r="BI98" s="86"/>
      <c r="BJ98" s="86"/>
      <c r="BK98" s="86" t="s">
        <v>149</v>
      </c>
    </row>
    <row r="99" spans="1:63" s="92" customFormat="1" x14ac:dyDescent="0.2">
      <c r="A99" s="86">
        <v>96</v>
      </c>
      <c r="B99" s="87" t="s">
        <v>44</v>
      </c>
      <c r="C99" s="86" t="s">
        <v>54</v>
      </c>
      <c r="D99" s="87" t="s">
        <v>173</v>
      </c>
      <c r="E99" s="86">
        <v>25.8</v>
      </c>
      <c r="F99" s="86">
        <v>1994.2</v>
      </c>
      <c r="G99" s="86">
        <v>2010.4</v>
      </c>
      <c r="H99" s="86" t="s">
        <v>47</v>
      </c>
      <c r="I99" s="86" t="s">
        <v>59</v>
      </c>
      <c r="J99" s="86" t="s">
        <v>59</v>
      </c>
      <c r="K99" s="86">
        <v>1.0952999999999999</v>
      </c>
      <c r="L99" s="86">
        <v>1.4E-2</v>
      </c>
      <c r="M99" s="86">
        <v>87.2</v>
      </c>
      <c r="N99" s="86">
        <v>13.849645274376783</v>
      </c>
      <c r="O99" s="168">
        <v>87.2</v>
      </c>
      <c r="P99" s="167">
        <v>1.0952999999999999</v>
      </c>
      <c r="Q99" s="100">
        <v>75.7</v>
      </c>
      <c r="R99" s="98">
        <v>100</v>
      </c>
      <c r="S99" s="86">
        <v>23.9</v>
      </c>
      <c r="T99" s="86">
        <v>18.7</v>
      </c>
      <c r="U99" s="86">
        <f t="shared" si="1"/>
        <v>5.1999999999999993</v>
      </c>
      <c r="V99" s="86" t="s">
        <v>48</v>
      </c>
      <c r="W99" s="86" t="s">
        <v>56</v>
      </c>
      <c r="X99" s="86" t="s">
        <v>174</v>
      </c>
      <c r="Y99" s="86" t="s">
        <v>58</v>
      </c>
      <c r="Z99" s="86"/>
      <c r="AA99" s="86"/>
      <c r="AB99" s="87" t="s">
        <v>173</v>
      </c>
      <c r="AC99" s="86" t="s">
        <v>160</v>
      </c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86"/>
      <c r="AW99" s="86"/>
      <c r="AX99" s="86"/>
      <c r="AY99" s="86"/>
      <c r="AZ99" s="86"/>
      <c r="BA99" s="86"/>
      <c r="BB99" s="86"/>
      <c r="BC99" s="86"/>
      <c r="BD99" s="86"/>
      <c r="BE99" s="86"/>
      <c r="BF99" s="86"/>
      <c r="BG99" s="86"/>
      <c r="BH99" s="86"/>
      <c r="BI99" s="86"/>
      <c r="BJ99" s="86"/>
      <c r="BK99" s="86" t="s">
        <v>149</v>
      </c>
    </row>
    <row r="100" spans="1:63" s="92" customFormat="1" x14ac:dyDescent="0.2">
      <c r="A100" s="86">
        <v>97</v>
      </c>
      <c r="B100" s="87" t="s">
        <v>44</v>
      </c>
      <c r="C100" s="86" t="s">
        <v>45</v>
      </c>
      <c r="D100" s="87" t="s">
        <v>175</v>
      </c>
      <c r="E100" s="86">
        <v>24.4</v>
      </c>
      <c r="F100" s="86">
        <v>1947.3</v>
      </c>
      <c r="G100" s="86">
        <v>2010.4</v>
      </c>
      <c r="H100" s="86" t="s">
        <v>47</v>
      </c>
      <c r="I100" s="86">
        <v>1.97</v>
      </c>
      <c r="J100" s="86">
        <v>2.23</v>
      </c>
      <c r="K100" s="86">
        <v>1.0268999999999999</v>
      </c>
      <c r="L100" s="86">
        <v>1.5800000000000002E-2</v>
      </c>
      <c r="M100" s="86">
        <v>19.3</v>
      </c>
      <c r="N100" s="86">
        <v>16</v>
      </c>
      <c r="O100" s="11">
        <v>19.3</v>
      </c>
      <c r="P100" s="66">
        <f>(K100-1.094301064*(1-R100/100))*100/R100</f>
        <v>1.0224449190106608</v>
      </c>
      <c r="Q100" s="86">
        <v>6.2</v>
      </c>
      <c r="R100" s="90">
        <v>93.8</v>
      </c>
      <c r="S100" s="86">
        <v>15.87</v>
      </c>
      <c r="T100" s="86">
        <v>13</v>
      </c>
      <c r="U100" s="86">
        <f t="shared" si="1"/>
        <v>2.8699999999999992</v>
      </c>
      <c r="V100" s="86" t="s">
        <v>48</v>
      </c>
      <c r="W100" s="87" t="s">
        <v>49</v>
      </c>
      <c r="X100" s="86" t="s">
        <v>158</v>
      </c>
      <c r="Y100" s="86" t="s">
        <v>58</v>
      </c>
      <c r="Z100" s="86"/>
      <c r="AA100" s="86"/>
      <c r="AB100" s="87" t="s">
        <v>175</v>
      </c>
      <c r="AC100" s="86" t="s">
        <v>160</v>
      </c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  <c r="BI100" s="86"/>
      <c r="BJ100" s="86" t="s">
        <v>176</v>
      </c>
      <c r="BK100" s="86" t="s">
        <v>149</v>
      </c>
    </row>
    <row r="101" spans="1:63" s="92" customFormat="1" x14ac:dyDescent="0.2">
      <c r="A101" s="86">
        <v>98</v>
      </c>
      <c r="B101" s="93" t="s">
        <v>63</v>
      </c>
      <c r="C101" s="91" t="s">
        <v>54</v>
      </c>
      <c r="D101" s="91" t="s">
        <v>177</v>
      </c>
      <c r="E101" s="86">
        <v>28.3</v>
      </c>
      <c r="F101" s="94">
        <v>1968.1</v>
      </c>
      <c r="G101" s="91">
        <v>2010.7</v>
      </c>
      <c r="H101" s="86" t="s">
        <v>69</v>
      </c>
      <c r="I101" s="91">
        <v>2</v>
      </c>
      <c r="J101" s="91">
        <v>2.31</v>
      </c>
      <c r="K101" s="96">
        <v>1.3972962240969409</v>
      </c>
      <c r="L101" s="96">
        <v>1.9199999999999998E-2</v>
      </c>
      <c r="M101" s="88">
        <v>386.68806043461615</v>
      </c>
      <c r="N101" s="97">
        <v>19.2</v>
      </c>
      <c r="O101" s="38">
        <v>386.68806043461615</v>
      </c>
      <c r="P101" s="169">
        <v>1.3972962240969409</v>
      </c>
      <c r="Q101" s="91" t="s">
        <v>59</v>
      </c>
      <c r="R101" s="98">
        <v>100</v>
      </c>
      <c r="S101" s="94">
        <v>29.55</v>
      </c>
      <c r="T101" s="88">
        <v>25.57961208840776</v>
      </c>
      <c r="U101" s="86">
        <f t="shared" si="1"/>
        <v>3.9703879115922405</v>
      </c>
      <c r="V101" s="86" t="s">
        <v>151</v>
      </c>
      <c r="W101" s="86" t="s">
        <v>49</v>
      </c>
      <c r="X101" s="86" t="s">
        <v>152</v>
      </c>
      <c r="Y101" s="86" t="s">
        <v>51</v>
      </c>
      <c r="Z101" s="86" t="s">
        <v>166</v>
      </c>
      <c r="AA101" s="86" t="s">
        <v>51</v>
      </c>
      <c r="AB101" s="91" t="s">
        <v>177</v>
      </c>
      <c r="AC101" s="86" t="s">
        <v>360</v>
      </c>
      <c r="AD101" s="99">
        <f>AG101-AF101</f>
        <v>6.2000000000000455</v>
      </c>
      <c r="AE101" s="86" t="s">
        <v>153</v>
      </c>
      <c r="AF101" s="94">
        <v>2004.5</v>
      </c>
      <c r="AG101" s="94">
        <f>G101</f>
        <v>2010.7</v>
      </c>
      <c r="AH101" s="86">
        <v>2</v>
      </c>
      <c r="AI101" s="86" t="s">
        <v>190</v>
      </c>
      <c r="AJ101" s="86">
        <f>AK101-AH101</f>
        <v>2008.7</v>
      </c>
      <c r="AK101" s="86">
        <f>G101</f>
        <v>2010.7</v>
      </c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6" t="s">
        <v>178</v>
      </c>
      <c r="BK101" s="86" t="s">
        <v>149</v>
      </c>
    </row>
    <row r="102" spans="1:63" s="92" customFormat="1" x14ac:dyDescent="0.2">
      <c r="A102" s="86">
        <v>99</v>
      </c>
      <c r="B102" s="93" t="s">
        <v>63</v>
      </c>
      <c r="C102" s="91" t="s">
        <v>45</v>
      </c>
      <c r="D102" s="91" t="s">
        <v>177</v>
      </c>
      <c r="E102" s="86">
        <v>28.3</v>
      </c>
      <c r="F102" s="94">
        <v>1968.1</v>
      </c>
      <c r="G102" s="91">
        <v>2010.7</v>
      </c>
      <c r="H102" s="86" t="s">
        <v>69</v>
      </c>
      <c r="I102" s="91">
        <v>1.97</v>
      </c>
      <c r="J102" s="91">
        <v>2.2799999999999998</v>
      </c>
      <c r="K102" s="96">
        <v>1.5652732409306953</v>
      </c>
      <c r="L102" s="96">
        <v>2.2799999999999997E-2</v>
      </c>
      <c r="M102" s="88">
        <v>553.38980889266657</v>
      </c>
      <c r="N102" s="97">
        <v>22.799999999999997</v>
      </c>
      <c r="O102" s="18">
        <f>(M102-M101*(1-96/100))*100/96</f>
        <v>560.33571507841862</v>
      </c>
      <c r="P102" s="19">
        <f>(K102-K101*(1-96/100))*100/96</f>
        <v>1.5722722832987683</v>
      </c>
      <c r="Q102" s="91" t="s">
        <v>59</v>
      </c>
      <c r="R102" s="91" t="s">
        <v>59</v>
      </c>
      <c r="S102" s="94">
        <v>32.666666666666664</v>
      </c>
      <c r="T102" s="88">
        <v>21.971132160577358</v>
      </c>
      <c r="U102" s="86">
        <f t="shared" si="1"/>
        <v>10.695534506089306</v>
      </c>
      <c r="V102" s="86" t="s">
        <v>151</v>
      </c>
      <c r="W102" s="86" t="s">
        <v>49</v>
      </c>
      <c r="X102" s="86" t="s">
        <v>152</v>
      </c>
      <c r="Y102" s="86" t="s">
        <v>51</v>
      </c>
      <c r="Z102" s="86" t="s">
        <v>166</v>
      </c>
      <c r="AA102" s="86" t="s">
        <v>51</v>
      </c>
      <c r="AB102" s="91" t="s">
        <v>177</v>
      </c>
      <c r="AC102" s="86" t="s">
        <v>360</v>
      </c>
      <c r="AD102" s="99">
        <f>AG102-AF102</f>
        <v>6.2000000000000455</v>
      </c>
      <c r="AE102" s="86" t="s">
        <v>153</v>
      </c>
      <c r="AF102" s="94">
        <v>2004.5</v>
      </c>
      <c r="AG102" s="94">
        <f>G102</f>
        <v>2010.7</v>
      </c>
      <c r="AH102" s="86">
        <v>2</v>
      </c>
      <c r="AI102" s="86" t="s">
        <v>190</v>
      </c>
      <c r="AJ102" s="86">
        <f>AK102-AH102</f>
        <v>2008.7</v>
      </c>
      <c r="AK102" s="86">
        <f>G102</f>
        <v>2010.7</v>
      </c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86"/>
      <c r="AW102" s="86"/>
      <c r="AX102" s="86"/>
      <c r="AY102" s="86"/>
      <c r="AZ102" s="86"/>
      <c r="BA102" s="86"/>
      <c r="BB102" s="86"/>
      <c r="BC102" s="86"/>
      <c r="BD102" s="86"/>
      <c r="BE102" s="86"/>
      <c r="BF102" s="86"/>
      <c r="BG102" s="86"/>
      <c r="BH102" s="86"/>
      <c r="BI102" s="86"/>
      <c r="BJ102" s="86" t="s">
        <v>178</v>
      </c>
      <c r="BK102" s="86" t="s">
        <v>149</v>
      </c>
    </row>
    <row r="103" spans="1:63" s="92" customFormat="1" x14ac:dyDescent="0.2">
      <c r="A103" s="86">
        <v>100</v>
      </c>
      <c r="B103" s="87" t="s">
        <v>44</v>
      </c>
      <c r="C103" s="86" t="s">
        <v>54</v>
      </c>
      <c r="D103" s="87" t="s">
        <v>179</v>
      </c>
      <c r="E103" s="86">
        <v>21.2</v>
      </c>
      <c r="F103" s="86">
        <v>1939.3</v>
      </c>
      <c r="G103" s="86">
        <v>2010.7</v>
      </c>
      <c r="H103" s="86" t="s">
        <v>69</v>
      </c>
      <c r="I103" s="86" t="s">
        <v>59</v>
      </c>
      <c r="J103" s="86" t="s">
        <v>59</v>
      </c>
      <c r="K103" s="86">
        <v>1.0680626118127199</v>
      </c>
      <c r="L103" s="86">
        <v>8.0000000000000002E-3</v>
      </c>
      <c r="M103" s="86">
        <v>60.217005968552506</v>
      </c>
      <c r="N103" s="86">
        <v>8</v>
      </c>
      <c r="O103" s="168">
        <v>60.217005968552506</v>
      </c>
      <c r="P103" s="167">
        <v>1.0680626118127199</v>
      </c>
      <c r="Q103" s="100">
        <v>95.2</v>
      </c>
      <c r="R103" s="98">
        <v>100</v>
      </c>
      <c r="S103" s="86">
        <v>83.333333333333329</v>
      </c>
      <c r="T103" s="86">
        <v>65.408209291835803</v>
      </c>
      <c r="U103" s="86">
        <f t="shared" si="1"/>
        <v>17.925124041497526</v>
      </c>
      <c r="V103" s="86" t="s">
        <v>180</v>
      </c>
      <c r="W103" s="86" t="s">
        <v>49</v>
      </c>
      <c r="X103" s="86" t="s">
        <v>181</v>
      </c>
      <c r="Y103" s="100" t="s">
        <v>58</v>
      </c>
      <c r="Z103" s="86"/>
      <c r="AA103" s="86"/>
      <c r="AB103" s="87" t="s">
        <v>179</v>
      </c>
      <c r="AC103" s="86" t="s">
        <v>160</v>
      </c>
      <c r="AD103" s="86"/>
      <c r="AE103" s="86"/>
      <c r="AF103" s="86"/>
      <c r="AG103" s="86"/>
      <c r="AH103" s="86"/>
      <c r="AI103" s="86"/>
      <c r="AJ103" s="86"/>
      <c r="AK103" s="86"/>
      <c r="AL103" s="86" t="s">
        <v>44</v>
      </c>
      <c r="AM103" s="86"/>
      <c r="AN103" s="86" t="s">
        <v>44</v>
      </c>
      <c r="AO103" s="86">
        <v>2009.8</v>
      </c>
      <c r="AP103" s="86">
        <v>2010.3</v>
      </c>
      <c r="AQ103" s="86"/>
      <c r="AR103" s="86"/>
      <c r="AS103" s="86"/>
      <c r="AT103" s="86"/>
      <c r="AU103" s="86"/>
      <c r="AV103" s="86"/>
      <c r="AW103" s="86"/>
      <c r="AX103" s="86"/>
      <c r="AY103" s="86"/>
      <c r="AZ103" s="86"/>
      <c r="BA103" s="86"/>
      <c r="BB103" s="86"/>
      <c r="BC103" s="86"/>
      <c r="BD103" s="86"/>
      <c r="BE103" s="86"/>
      <c r="BF103" s="86" t="s">
        <v>153</v>
      </c>
      <c r="BG103" s="86">
        <v>2009.8</v>
      </c>
      <c r="BH103" s="86">
        <f>BG103+BI103</f>
        <v>2010.3</v>
      </c>
      <c r="BI103" s="86">
        <v>0.5</v>
      </c>
      <c r="BJ103" s="86" t="s">
        <v>183</v>
      </c>
      <c r="BK103" s="86" t="s">
        <v>149</v>
      </c>
    </row>
    <row r="104" spans="1:63" s="92" customFormat="1" x14ac:dyDescent="0.2">
      <c r="A104" s="86">
        <v>101</v>
      </c>
      <c r="B104" s="87" t="s">
        <v>44</v>
      </c>
      <c r="C104" s="86" t="s">
        <v>45</v>
      </c>
      <c r="D104" s="87" t="s">
        <v>179</v>
      </c>
      <c r="E104" s="86">
        <v>21.2</v>
      </c>
      <c r="F104" s="86">
        <v>1939.3</v>
      </c>
      <c r="G104" s="86">
        <v>2010.7</v>
      </c>
      <c r="H104" s="86" t="s">
        <v>69</v>
      </c>
      <c r="I104" s="86" t="s">
        <v>59</v>
      </c>
      <c r="J104" s="86" t="s">
        <v>59</v>
      </c>
      <c r="K104" s="86">
        <v>1.0019180879750067</v>
      </c>
      <c r="L104" s="86">
        <v>1.6E-2</v>
      </c>
      <c r="M104" s="86">
        <v>-5.4416438604262263</v>
      </c>
      <c r="N104" s="86">
        <v>16</v>
      </c>
      <c r="O104" s="18">
        <f>(M104-M103*(1-R104/100))*100/R104</f>
        <v>-6.7816163059155885</v>
      </c>
      <c r="P104" s="19">
        <f>(K104-K103*(1-R104/100))*100/R104</f>
        <v>1.0005681997334206</v>
      </c>
      <c r="Q104" s="100">
        <v>8.5</v>
      </c>
      <c r="R104" s="98">
        <v>98</v>
      </c>
      <c r="S104" s="86">
        <v>6.833333333333333</v>
      </c>
      <c r="T104" s="86">
        <v>6.1453433678269045</v>
      </c>
      <c r="U104" s="86">
        <f t="shared" si="1"/>
        <v>0.68798996550642855</v>
      </c>
      <c r="V104" s="86" t="s">
        <v>180</v>
      </c>
      <c r="W104" s="86" t="s">
        <v>49</v>
      </c>
      <c r="X104" s="86" t="s">
        <v>181</v>
      </c>
      <c r="Y104" s="100" t="s">
        <v>58</v>
      </c>
      <c r="Z104" s="86"/>
      <c r="AA104" s="86"/>
      <c r="AB104" s="87" t="s">
        <v>179</v>
      </c>
      <c r="AC104" s="86" t="s">
        <v>160</v>
      </c>
      <c r="AD104" s="86"/>
      <c r="AE104" s="86"/>
      <c r="AF104" s="86"/>
      <c r="AG104" s="86"/>
      <c r="AH104" s="86"/>
      <c r="AI104" s="86"/>
      <c r="AJ104" s="86"/>
      <c r="AK104" s="86"/>
      <c r="AL104" s="86" t="s">
        <v>44</v>
      </c>
      <c r="AM104" s="86"/>
      <c r="AN104" s="86" t="s">
        <v>44</v>
      </c>
      <c r="AO104" s="86">
        <v>2009.8</v>
      </c>
      <c r="AP104" s="86">
        <v>2010.3</v>
      </c>
      <c r="AQ104" s="86"/>
      <c r="AR104" s="86"/>
      <c r="AS104" s="86"/>
      <c r="AT104" s="86"/>
      <c r="AU104" s="86"/>
      <c r="AV104" s="86"/>
      <c r="AW104" s="86"/>
      <c r="AX104" s="86"/>
      <c r="AY104" s="86"/>
      <c r="AZ104" s="86"/>
      <c r="BA104" s="86"/>
      <c r="BB104" s="86"/>
      <c r="BC104" s="86"/>
      <c r="BD104" s="86"/>
      <c r="BE104" s="86"/>
      <c r="BF104" s="86" t="s">
        <v>153</v>
      </c>
      <c r="BG104" s="86">
        <v>2009.8</v>
      </c>
      <c r="BH104" s="86">
        <f>BG104+BI104</f>
        <v>2010.3</v>
      </c>
      <c r="BI104" s="86">
        <v>0.5</v>
      </c>
      <c r="BJ104" s="86" t="s">
        <v>183</v>
      </c>
      <c r="BK104" s="86" t="s">
        <v>149</v>
      </c>
    </row>
    <row r="105" spans="1:63" s="92" customFormat="1" x14ac:dyDescent="0.2">
      <c r="A105" s="86">
        <v>102</v>
      </c>
      <c r="B105" s="86" t="s">
        <v>63</v>
      </c>
      <c r="C105" s="91" t="s">
        <v>54</v>
      </c>
      <c r="D105" s="91" t="s">
        <v>184</v>
      </c>
      <c r="E105" s="86">
        <v>25.8</v>
      </c>
      <c r="F105" s="86">
        <v>1984.4</v>
      </c>
      <c r="G105" s="86">
        <v>2010.7</v>
      </c>
      <c r="H105" s="86" t="s">
        <v>47</v>
      </c>
      <c r="I105" s="86">
        <v>2.0099999999999998</v>
      </c>
      <c r="J105" s="86">
        <v>2.34</v>
      </c>
      <c r="K105" s="96">
        <v>1.1594968088954178</v>
      </c>
      <c r="L105" s="96">
        <v>1.72E-2</v>
      </c>
      <c r="M105" s="88">
        <v>150.55698115186766</v>
      </c>
      <c r="N105" s="97">
        <v>17.2</v>
      </c>
      <c r="O105" s="38">
        <v>150.55698115186766</v>
      </c>
      <c r="P105" s="39">
        <v>1.1594968088954178</v>
      </c>
      <c r="Q105" s="91">
        <v>45.1</v>
      </c>
      <c r="R105" s="98">
        <v>100</v>
      </c>
      <c r="S105" s="86">
        <v>30.766666666666666</v>
      </c>
      <c r="T105" s="88">
        <v>27.564276048714483</v>
      </c>
      <c r="U105" s="86">
        <f t="shared" si="1"/>
        <v>3.202390617952183</v>
      </c>
      <c r="V105" s="86" t="s">
        <v>48</v>
      </c>
      <c r="W105" s="91" t="s">
        <v>56</v>
      </c>
      <c r="X105" s="86" t="s">
        <v>155</v>
      </c>
      <c r="Y105" s="91" t="s">
        <v>58</v>
      </c>
      <c r="Z105" s="86"/>
      <c r="AA105" s="86"/>
      <c r="AB105" s="91" t="s">
        <v>184</v>
      </c>
      <c r="AC105" s="86" t="s">
        <v>160</v>
      </c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86"/>
      <c r="AW105" s="86"/>
      <c r="AX105" s="86"/>
      <c r="AY105" s="86"/>
      <c r="AZ105" s="86"/>
      <c r="BA105" s="86"/>
      <c r="BB105" s="86"/>
      <c r="BC105" s="86"/>
      <c r="BD105" s="86"/>
      <c r="BE105" s="86"/>
      <c r="BF105" s="86"/>
      <c r="BG105" s="86"/>
      <c r="BH105" s="86"/>
      <c r="BI105" s="86"/>
      <c r="BJ105" s="86"/>
      <c r="BK105" s="86" t="s">
        <v>149</v>
      </c>
    </row>
    <row r="106" spans="1:63" s="92" customFormat="1" x14ac:dyDescent="0.2">
      <c r="A106" s="86">
        <v>103</v>
      </c>
      <c r="B106" s="86" t="s">
        <v>63</v>
      </c>
      <c r="C106" s="91" t="s">
        <v>45</v>
      </c>
      <c r="D106" s="91" t="s">
        <v>184</v>
      </c>
      <c r="E106" s="86">
        <v>25.8</v>
      </c>
      <c r="F106" s="86">
        <v>1984.4</v>
      </c>
      <c r="G106" s="86">
        <v>2010.7</v>
      </c>
      <c r="H106" s="86" t="s">
        <v>47</v>
      </c>
      <c r="I106" s="86">
        <v>1.96</v>
      </c>
      <c r="J106" s="86">
        <v>2.2400000000000002</v>
      </c>
      <c r="K106" s="96">
        <v>1.1802707515126183</v>
      </c>
      <c r="L106" s="96">
        <v>3.7599999999999995E-2</v>
      </c>
      <c r="M106" s="88">
        <v>171.1707547482244</v>
      </c>
      <c r="N106" s="97">
        <v>37.599999999999994</v>
      </c>
      <c r="O106" s="18">
        <f>(M106-M105*(1-R106/100))*100/R106</f>
        <v>171.80829413780248</v>
      </c>
      <c r="P106" s="19">
        <f>(K106-K105*(1-R106/100))*100/R106</f>
        <v>1.1809132445832533</v>
      </c>
      <c r="Q106" s="91">
        <v>9.3000000000000007</v>
      </c>
      <c r="R106" s="91">
        <v>97</v>
      </c>
      <c r="S106" s="86">
        <v>6.0666666666666664</v>
      </c>
      <c r="T106" s="88">
        <v>4.8753527751646279</v>
      </c>
      <c r="U106" s="86">
        <f t="shared" si="1"/>
        <v>1.1913138915020385</v>
      </c>
      <c r="V106" s="86" t="s">
        <v>48</v>
      </c>
      <c r="W106" s="91" t="s">
        <v>56</v>
      </c>
      <c r="X106" s="86" t="s">
        <v>155</v>
      </c>
      <c r="Y106" s="91" t="s">
        <v>58</v>
      </c>
      <c r="Z106" s="86"/>
      <c r="AA106" s="86"/>
      <c r="AB106" s="91" t="s">
        <v>184</v>
      </c>
      <c r="AC106" s="86" t="s">
        <v>160</v>
      </c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  <c r="AY106" s="86"/>
      <c r="AZ106" s="86"/>
      <c r="BA106" s="86"/>
      <c r="BB106" s="86"/>
      <c r="BC106" s="86"/>
      <c r="BD106" s="86"/>
      <c r="BE106" s="86"/>
      <c r="BF106" s="86"/>
      <c r="BG106" s="86"/>
      <c r="BH106" s="86"/>
      <c r="BI106" s="86"/>
      <c r="BJ106" s="86"/>
      <c r="BK106" s="86" t="s">
        <v>149</v>
      </c>
    </row>
    <row r="107" spans="1:63" s="92" customFormat="1" x14ac:dyDescent="0.2">
      <c r="A107" s="86">
        <v>104</v>
      </c>
      <c r="B107" s="86" t="s">
        <v>63</v>
      </c>
      <c r="C107" s="86" t="s">
        <v>54</v>
      </c>
      <c r="D107" s="91" t="s">
        <v>185</v>
      </c>
      <c r="E107" s="86">
        <v>28.7</v>
      </c>
      <c r="F107" s="86">
        <v>1947.7</v>
      </c>
      <c r="G107" s="86">
        <v>2010.7</v>
      </c>
      <c r="H107" s="86" t="s">
        <v>69</v>
      </c>
      <c r="I107" s="86">
        <v>1.97</v>
      </c>
      <c r="J107" s="86">
        <v>2.34</v>
      </c>
      <c r="K107" s="96">
        <v>1.0702128800040394</v>
      </c>
      <c r="L107" s="96">
        <v>1.5300000000000001E-2</v>
      </c>
      <c r="M107" s="88">
        <v>62.087907511575892</v>
      </c>
      <c r="N107" s="97">
        <v>15.299999999999999</v>
      </c>
      <c r="O107" s="38">
        <v>62.087907511575892</v>
      </c>
      <c r="P107" s="165">
        <v>1.0702128800040394</v>
      </c>
      <c r="Q107" s="91">
        <v>99.7</v>
      </c>
      <c r="R107" s="98">
        <v>100</v>
      </c>
      <c r="S107" s="86">
        <v>161.86666666666667</v>
      </c>
      <c r="T107" s="88">
        <v>131.08254397834912</v>
      </c>
      <c r="U107" s="86">
        <f t="shared" si="1"/>
        <v>30.784122688317552</v>
      </c>
      <c r="V107" s="86" t="s">
        <v>48</v>
      </c>
      <c r="W107" s="91" t="s">
        <v>49</v>
      </c>
      <c r="X107" s="86" t="s">
        <v>155</v>
      </c>
      <c r="Y107" s="86" t="s">
        <v>51</v>
      </c>
      <c r="Z107" s="86"/>
      <c r="AA107" s="86" t="s">
        <v>51</v>
      </c>
      <c r="AB107" s="91" t="s">
        <v>185</v>
      </c>
      <c r="AC107" s="86" t="s">
        <v>160</v>
      </c>
      <c r="AD107" s="86">
        <v>2</v>
      </c>
      <c r="AE107" s="86" t="s">
        <v>186</v>
      </c>
      <c r="AF107" s="86" t="s">
        <v>187</v>
      </c>
      <c r="AG107" s="86" t="s">
        <v>187</v>
      </c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86"/>
      <c r="AW107" s="86"/>
      <c r="AX107" s="86"/>
      <c r="AY107" s="86"/>
      <c r="AZ107" s="86"/>
      <c r="BA107" s="86"/>
      <c r="BB107" s="86"/>
      <c r="BC107" s="86"/>
      <c r="BD107" s="86"/>
      <c r="BE107" s="86"/>
      <c r="BF107" s="86"/>
      <c r="BG107" s="86"/>
      <c r="BH107" s="86"/>
      <c r="BI107" s="86"/>
      <c r="BJ107" s="86"/>
      <c r="BK107" s="86" t="s">
        <v>149</v>
      </c>
    </row>
    <row r="108" spans="1:63" s="92" customFormat="1" x14ac:dyDescent="0.2">
      <c r="A108" s="86">
        <v>105</v>
      </c>
      <c r="B108" s="86" t="s">
        <v>63</v>
      </c>
      <c r="C108" s="86" t="s">
        <v>45</v>
      </c>
      <c r="D108" s="91" t="s">
        <v>185</v>
      </c>
      <c r="E108" s="86">
        <v>28.7</v>
      </c>
      <c r="F108" s="86">
        <v>1947.7</v>
      </c>
      <c r="G108" s="86">
        <v>2010.7</v>
      </c>
      <c r="H108" s="86" t="s">
        <v>69</v>
      </c>
      <c r="I108" s="86">
        <v>1.94</v>
      </c>
      <c r="J108" s="103">
        <v>2.0499999999999998</v>
      </c>
      <c r="K108" s="96">
        <v>1.0141564422534894</v>
      </c>
      <c r="L108" s="96">
        <v>1.7399999999999999E-2</v>
      </c>
      <c r="M108" s="88">
        <v>6.4570458527162256</v>
      </c>
      <c r="N108" s="97">
        <v>17.399999999999999</v>
      </c>
      <c r="O108" s="18">
        <f>(M108-M107*(1-R108/100))*100/R108</f>
        <v>3.8356963504662911</v>
      </c>
      <c r="P108" s="19">
        <f>(K108-K107*(1-R108/100))*100/R108</f>
        <v>1.0115150394275472</v>
      </c>
      <c r="Q108" s="91">
        <v>11.2</v>
      </c>
      <c r="R108" s="91">
        <v>95.5</v>
      </c>
      <c r="S108" s="86">
        <v>18.933333333333334</v>
      </c>
      <c r="T108" s="88">
        <v>18.182228236355439</v>
      </c>
      <c r="U108" s="86">
        <f t="shared" si="1"/>
        <v>0.75110509697789496</v>
      </c>
      <c r="V108" s="86" t="s">
        <v>48</v>
      </c>
      <c r="W108" s="91" t="s">
        <v>49</v>
      </c>
      <c r="X108" s="86" t="s">
        <v>155</v>
      </c>
      <c r="Y108" s="86" t="s">
        <v>51</v>
      </c>
      <c r="Z108" s="86"/>
      <c r="AA108" s="86" t="s">
        <v>51</v>
      </c>
      <c r="AB108" s="91" t="s">
        <v>185</v>
      </c>
      <c r="AC108" s="86" t="s">
        <v>160</v>
      </c>
      <c r="AD108" s="86">
        <v>2</v>
      </c>
      <c r="AE108" s="86" t="s">
        <v>186</v>
      </c>
      <c r="AF108" s="86" t="s">
        <v>187</v>
      </c>
      <c r="AG108" s="86" t="s">
        <v>187</v>
      </c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86"/>
      <c r="AW108" s="86"/>
      <c r="AX108" s="86"/>
      <c r="AY108" s="86"/>
      <c r="AZ108" s="86"/>
      <c r="BA108" s="86"/>
      <c r="BB108" s="86"/>
      <c r="BC108" s="86"/>
      <c r="BD108" s="86"/>
      <c r="BE108" s="86"/>
      <c r="BF108" s="86"/>
      <c r="BG108" s="86"/>
      <c r="BH108" s="86"/>
      <c r="BI108" s="86"/>
      <c r="BJ108" s="86"/>
      <c r="BK108" s="86" t="s">
        <v>149</v>
      </c>
    </row>
    <row r="109" spans="1:63" s="92" customFormat="1" x14ac:dyDescent="0.2">
      <c r="A109" s="86">
        <v>106</v>
      </c>
      <c r="B109" s="87" t="s">
        <v>44</v>
      </c>
      <c r="C109" s="86" t="s">
        <v>54</v>
      </c>
      <c r="D109" s="87" t="s">
        <v>188</v>
      </c>
      <c r="E109" s="88">
        <v>30.642535669826675</v>
      </c>
      <c r="F109" s="86">
        <v>1956.5</v>
      </c>
      <c r="G109" s="86">
        <v>2010.8</v>
      </c>
      <c r="H109" s="86" t="s">
        <v>47</v>
      </c>
      <c r="I109" s="86" t="s">
        <v>59</v>
      </c>
      <c r="J109" s="86" t="s">
        <v>59</v>
      </c>
      <c r="K109" s="86">
        <v>1.1416587795284183</v>
      </c>
      <c r="L109" s="86">
        <v>1.38E-2</v>
      </c>
      <c r="M109" s="86">
        <v>133.27256256543407</v>
      </c>
      <c r="N109" s="86">
        <v>13.8</v>
      </c>
      <c r="O109" s="168">
        <v>133.27256256543407</v>
      </c>
      <c r="P109" s="167">
        <v>1.1416587795284183</v>
      </c>
      <c r="Q109" s="100">
        <v>111.2</v>
      </c>
      <c r="R109" s="98">
        <v>100</v>
      </c>
      <c r="S109" s="86">
        <v>74.11666666666666</v>
      </c>
      <c r="T109" s="86">
        <v>61.168245376635092</v>
      </c>
      <c r="U109" s="86">
        <f t="shared" si="1"/>
        <v>12.948421290031568</v>
      </c>
      <c r="V109" s="86" t="s">
        <v>48</v>
      </c>
      <c r="W109" s="86" t="s">
        <v>49</v>
      </c>
      <c r="X109" s="86" t="s">
        <v>189</v>
      </c>
      <c r="Y109" s="86" t="s">
        <v>51</v>
      </c>
      <c r="Z109" s="86"/>
      <c r="AA109" s="86" t="s">
        <v>51</v>
      </c>
      <c r="AB109" s="87" t="s">
        <v>188</v>
      </c>
      <c r="AC109" s="86" t="s">
        <v>160</v>
      </c>
      <c r="AD109" s="86">
        <v>30</v>
      </c>
      <c r="AE109" s="86" t="s">
        <v>190</v>
      </c>
      <c r="AF109" s="94">
        <f>G109-AD109</f>
        <v>1980.8</v>
      </c>
      <c r="AG109" s="94">
        <f>G109</f>
        <v>2010.8</v>
      </c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86"/>
      <c r="AW109" s="86"/>
      <c r="AX109" s="86"/>
      <c r="AY109" s="86"/>
      <c r="AZ109" s="86"/>
      <c r="BA109" s="86"/>
      <c r="BB109" s="86"/>
      <c r="BC109" s="86"/>
      <c r="BD109" s="86"/>
      <c r="BE109" s="86"/>
      <c r="BF109" s="86"/>
      <c r="BG109" s="86"/>
      <c r="BH109" s="86"/>
      <c r="BI109" s="86"/>
      <c r="BJ109" s="86"/>
      <c r="BK109" s="86" t="s">
        <v>149</v>
      </c>
    </row>
    <row r="110" spans="1:63" s="92" customFormat="1" x14ac:dyDescent="0.2">
      <c r="A110" s="86">
        <v>107</v>
      </c>
      <c r="B110" s="87" t="s">
        <v>44</v>
      </c>
      <c r="C110" s="86" t="s">
        <v>45</v>
      </c>
      <c r="D110" s="87" t="s">
        <v>188</v>
      </c>
      <c r="E110" s="88">
        <v>30.642535669826675</v>
      </c>
      <c r="F110" s="86">
        <v>1956.5</v>
      </c>
      <c r="G110" s="86">
        <v>2010.8</v>
      </c>
      <c r="H110" s="86" t="s">
        <v>47</v>
      </c>
      <c r="I110" s="86" t="s">
        <v>59</v>
      </c>
      <c r="J110" s="86" t="s">
        <v>59</v>
      </c>
      <c r="K110" s="86">
        <v>1.0141120319989145</v>
      </c>
      <c r="L110" s="86">
        <v>2.0199999999999999E-2</v>
      </c>
      <c r="M110" s="86">
        <v>6.6627278130975132</v>
      </c>
      <c r="N110" s="86">
        <v>20.2</v>
      </c>
      <c r="O110" s="18">
        <f>(M110-M109*(1-R110/100))*100/R110</f>
        <v>5.3838405933769415</v>
      </c>
      <c r="P110" s="19">
        <f>(K110-K109*(1-R110/100))*100/R110</f>
        <v>1.0128236810137681</v>
      </c>
      <c r="Q110" s="100">
        <v>14.38</v>
      </c>
      <c r="R110" s="98">
        <v>99</v>
      </c>
      <c r="S110" s="86">
        <v>17.349999999999998</v>
      </c>
      <c r="T110" s="86">
        <v>12.995038340099232</v>
      </c>
      <c r="U110" s="86">
        <f t="shared" si="1"/>
        <v>4.3549616599007663</v>
      </c>
      <c r="V110" s="86" t="s">
        <v>48</v>
      </c>
      <c r="W110" s="86" t="s">
        <v>49</v>
      </c>
      <c r="X110" s="86" t="s">
        <v>189</v>
      </c>
      <c r="Y110" s="86" t="s">
        <v>51</v>
      </c>
      <c r="Z110" s="86"/>
      <c r="AA110" s="86" t="s">
        <v>51</v>
      </c>
      <c r="AB110" s="87" t="s">
        <v>188</v>
      </c>
      <c r="AC110" s="86" t="s">
        <v>160</v>
      </c>
      <c r="AD110" s="86">
        <v>30</v>
      </c>
      <c r="AE110" s="86" t="s">
        <v>190</v>
      </c>
      <c r="AF110" s="94">
        <f>G110-AD110</f>
        <v>1980.8</v>
      </c>
      <c r="AG110" s="94">
        <f>G110</f>
        <v>2010.8</v>
      </c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/>
      <c r="BK110" s="86" t="s">
        <v>149</v>
      </c>
    </row>
    <row r="111" spans="1:63" s="92" customFormat="1" x14ac:dyDescent="0.2">
      <c r="A111" s="86">
        <v>108</v>
      </c>
      <c r="B111" s="87" t="s">
        <v>44</v>
      </c>
      <c r="C111" s="86" t="s">
        <v>54</v>
      </c>
      <c r="D111" s="87" t="s">
        <v>191</v>
      </c>
      <c r="E111" s="88">
        <v>23.999459167117362</v>
      </c>
      <c r="F111" s="86">
        <v>1946</v>
      </c>
      <c r="G111" s="86">
        <v>2010.9</v>
      </c>
      <c r="H111" s="86" t="s">
        <v>47</v>
      </c>
      <c r="I111" s="86" t="s">
        <v>59</v>
      </c>
      <c r="J111" s="86" t="s">
        <v>59</v>
      </c>
      <c r="K111" s="86">
        <v>1.0891966775402659</v>
      </c>
      <c r="L111" s="86">
        <v>1.66E-2</v>
      </c>
      <c r="M111" s="86">
        <v>81.195828410031595</v>
      </c>
      <c r="N111" s="86">
        <v>16.600000000000001</v>
      </c>
      <c r="O111" s="168">
        <v>81.195828410031595</v>
      </c>
      <c r="P111" s="167">
        <v>1.0891966775402659</v>
      </c>
      <c r="Q111" s="100">
        <v>68.05</v>
      </c>
      <c r="R111" s="98">
        <v>100</v>
      </c>
      <c r="S111" s="86">
        <v>88.466666666666654</v>
      </c>
      <c r="T111" s="86">
        <v>73.978349120433009</v>
      </c>
      <c r="U111" s="86">
        <f t="shared" si="1"/>
        <v>14.488317546233645</v>
      </c>
      <c r="V111" s="86" t="s">
        <v>48</v>
      </c>
      <c r="W111" s="86" t="s">
        <v>49</v>
      </c>
      <c r="X111" s="91" t="s">
        <v>174</v>
      </c>
      <c r="Y111" s="86" t="s">
        <v>51</v>
      </c>
      <c r="Z111" s="91"/>
      <c r="AA111" s="86" t="s">
        <v>51</v>
      </c>
      <c r="AB111" s="87" t="s">
        <v>191</v>
      </c>
      <c r="AC111" s="86" t="s">
        <v>160</v>
      </c>
      <c r="AD111" s="86">
        <v>30</v>
      </c>
      <c r="AE111" s="86" t="s">
        <v>160</v>
      </c>
      <c r="AF111" s="94">
        <f>G111-AD111</f>
        <v>1980.9</v>
      </c>
      <c r="AG111" s="94">
        <f>G111</f>
        <v>2010.9</v>
      </c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 t="s">
        <v>192</v>
      </c>
      <c r="BK111" s="86" t="s">
        <v>149</v>
      </c>
    </row>
    <row r="112" spans="1:63" s="92" customFormat="1" x14ac:dyDescent="0.2">
      <c r="A112" s="86">
        <v>109</v>
      </c>
      <c r="B112" s="87" t="s">
        <v>44</v>
      </c>
      <c r="C112" s="86" t="s">
        <v>45</v>
      </c>
      <c r="D112" s="87" t="s">
        <v>191</v>
      </c>
      <c r="E112" s="88">
        <v>23.999459167117362</v>
      </c>
      <c r="F112" s="86">
        <v>1946</v>
      </c>
      <c r="G112" s="86">
        <v>2010.9</v>
      </c>
      <c r="H112" s="86" t="s">
        <v>47</v>
      </c>
      <c r="I112" s="86" t="s">
        <v>59</v>
      </c>
      <c r="J112" s="86" t="s">
        <v>59</v>
      </c>
      <c r="K112" s="86">
        <v>1.012272410073678</v>
      </c>
      <c r="L112" s="86">
        <v>1.7999999999999999E-2</v>
      </c>
      <c r="M112" s="86">
        <v>4.8366190923940788</v>
      </c>
      <c r="N112" s="86">
        <v>18</v>
      </c>
      <c r="O112" s="18">
        <f>(M112-M111*(1-R112/100))*100/R112</f>
        <v>3.2782678818300459</v>
      </c>
      <c r="P112" s="19">
        <f>(K112-K111*(1-R112/100))*100/R112</f>
        <v>1.0107025270641559</v>
      </c>
      <c r="Q112" s="100">
        <v>9.34</v>
      </c>
      <c r="R112" s="98">
        <v>98</v>
      </c>
      <c r="S112" s="86">
        <v>9.3083333333333336</v>
      </c>
      <c r="T112" s="86">
        <v>8.4971777986829728</v>
      </c>
      <c r="U112" s="86">
        <f t="shared" si="1"/>
        <v>0.81115553465036072</v>
      </c>
      <c r="V112" s="86" t="s">
        <v>48</v>
      </c>
      <c r="W112" s="86" t="s">
        <v>49</v>
      </c>
      <c r="X112" s="91" t="s">
        <v>174</v>
      </c>
      <c r="Y112" s="86" t="s">
        <v>51</v>
      </c>
      <c r="Z112" s="91"/>
      <c r="AA112" s="86" t="s">
        <v>51</v>
      </c>
      <c r="AB112" s="87" t="s">
        <v>191</v>
      </c>
      <c r="AC112" s="86" t="s">
        <v>160</v>
      </c>
      <c r="AD112" s="86">
        <v>30</v>
      </c>
      <c r="AE112" s="86" t="s">
        <v>160</v>
      </c>
      <c r="AF112" s="94">
        <f>G112-AD112</f>
        <v>1980.9</v>
      </c>
      <c r="AG112" s="94">
        <f>G112</f>
        <v>2010.9</v>
      </c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86"/>
      <c r="AW112" s="86"/>
      <c r="AX112" s="86"/>
      <c r="AY112" s="86"/>
      <c r="AZ112" s="86"/>
      <c r="BA112" s="86"/>
      <c r="BB112" s="86"/>
      <c r="BC112" s="86"/>
      <c r="BD112" s="86"/>
      <c r="BE112" s="86"/>
      <c r="BF112" s="86"/>
      <c r="BG112" s="86"/>
      <c r="BH112" s="86"/>
      <c r="BI112" s="86"/>
      <c r="BJ112" s="86" t="s">
        <v>192</v>
      </c>
      <c r="BK112" s="86" t="s">
        <v>149</v>
      </c>
    </row>
    <row r="113" spans="1:64" s="92" customFormat="1" x14ac:dyDescent="0.2">
      <c r="A113" s="86">
        <v>110</v>
      </c>
      <c r="B113" s="86" t="s">
        <v>63</v>
      </c>
      <c r="C113" s="91" t="s">
        <v>54</v>
      </c>
      <c r="D113" s="91" t="s">
        <v>193</v>
      </c>
      <c r="E113" s="88">
        <v>28.726787729557817</v>
      </c>
      <c r="F113" s="86">
        <v>1949.3</v>
      </c>
      <c r="G113" s="86">
        <v>2010.9</v>
      </c>
      <c r="H113" s="86" t="s">
        <v>47</v>
      </c>
      <c r="I113" s="86">
        <v>1.99</v>
      </c>
      <c r="J113" s="86">
        <v>2.2999999999999998</v>
      </c>
      <c r="K113" s="96">
        <v>1.0672907838037877</v>
      </c>
      <c r="L113" s="96">
        <v>1.44E-2</v>
      </c>
      <c r="M113" s="88">
        <v>59.187995637163482</v>
      </c>
      <c r="N113" s="97">
        <v>14.399999999999999</v>
      </c>
      <c r="O113" s="38">
        <v>59.187995637163482</v>
      </c>
      <c r="P113" s="165">
        <v>1.0672907838037877</v>
      </c>
      <c r="Q113" s="91">
        <v>60</v>
      </c>
      <c r="R113" s="98">
        <v>100</v>
      </c>
      <c r="S113" s="86">
        <v>54.683333333333337</v>
      </c>
      <c r="T113" s="88">
        <v>54.041497519170044</v>
      </c>
      <c r="U113" s="86">
        <f t="shared" si="1"/>
        <v>0.64183581416329361</v>
      </c>
      <c r="V113" s="86" t="s">
        <v>48</v>
      </c>
      <c r="W113" s="91" t="s">
        <v>56</v>
      </c>
      <c r="X113" s="86" t="s">
        <v>155</v>
      </c>
      <c r="Y113" s="86" t="s">
        <v>58</v>
      </c>
      <c r="Z113" s="86"/>
      <c r="AA113" s="86"/>
      <c r="AB113" s="91" t="s">
        <v>193</v>
      </c>
      <c r="AC113" s="86" t="s">
        <v>160</v>
      </c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86"/>
      <c r="AW113" s="86"/>
      <c r="AX113" s="86"/>
      <c r="AY113" s="86"/>
      <c r="AZ113" s="86"/>
      <c r="BA113" s="86"/>
      <c r="BB113" s="86"/>
      <c r="BC113" s="86"/>
      <c r="BD113" s="86"/>
      <c r="BE113" s="86"/>
      <c r="BF113" s="86"/>
      <c r="BG113" s="86"/>
      <c r="BH113" s="86"/>
      <c r="BI113" s="86"/>
      <c r="BJ113" s="86"/>
      <c r="BK113" s="86" t="s">
        <v>149</v>
      </c>
    </row>
    <row r="114" spans="1:64" s="92" customFormat="1" x14ac:dyDescent="0.2">
      <c r="A114" s="86">
        <v>111</v>
      </c>
      <c r="B114" s="86" t="s">
        <v>63</v>
      </c>
      <c r="C114" s="91" t="s">
        <v>45</v>
      </c>
      <c r="D114" s="91" t="s">
        <v>193</v>
      </c>
      <c r="E114" s="88">
        <v>28.726787729557817</v>
      </c>
      <c r="F114" s="86">
        <v>1949.3</v>
      </c>
      <c r="G114" s="86">
        <v>2010.9</v>
      </c>
      <c r="H114" s="86" t="s">
        <v>47</v>
      </c>
      <c r="I114" s="86">
        <v>1.98</v>
      </c>
      <c r="J114" s="86">
        <v>2.2200000000000002</v>
      </c>
      <c r="K114" s="96">
        <v>1.0280936025038507</v>
      </c>
      <c r="L114" s="96">
        <v>1.78E-2</v>
      </c>
      <c r="M114" s="88">
        <v>20.288396272367226</v>
      </c>
      <c r="N114" s="97">
        <v>17.8</v>
      </c>
      <c r="O114" s="18">
        <f>(M114-M113*(1-R114/100))*100/R114</f>
        <v>18.667579632167378</v>
      </c>
      <c r="P114" s="19">
        <f>(K114-K113*(1-R114/100))*100/R114</f>
        <v>1.0264603866163533</v>
      </c>
      <c r="Q114" s="91">
        <v>14.5</v>
      </c>
      <c r="R114" s="91">
        <v>96</v>
      </c>
      <c r="S114" s="86">
        <v>31.849999999999998</v>
      </c>
      <c r="T114" s="88">
        <v>26.797474064050522</v>
      </c>
      <c r="U114" s="86">
        <f t="shared" si="1"/>
        <v>5.0525259359494754</v>
      </c>
      <c r="V114" s="86" t="s">
        <v>48</v>
      </c>
      <c r="W114" s="91" t="s">
        <v>56</v>
      </c>
      <c r="X114" s="86" t="s">
        <v>155</v>
      </c>
      <c r="Y114" s="86" t="s">
        <v>58</v>
      </c>
      <c r="Z114" s="86"/>
      <c r="AA114" s="86"/>
      <c r="AB114" s="91" t="s">
        <v>193</v>
      </c>
      <c r="AC114" s="86" t="s">
        <v>160</v>
      </c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86"/>
      <c r="AW114" s="86"/>
      <c r="AX114" s="86"/>
      <c r="AY114" s="86"/>
      <c r="AZ114" s="86"/>
      <c r="BA114" s="86"/>
      <c r="BB114" s="86"/>
      <c r="BC114" s="86"/>
      <c r="BD114" s="86"/>
      <c r="BE114" s="86"/>
      <c r="BF114" s="86"/>
      <c r="BG114" s="86"/>
      <c r="BH114" s="86"/>
      <c r="BI114" s="86"/>
      <c r="BJ114" s="86"/>
      <c r="BK114" s="86" t="s">
        <v>149</v>
      </c>
    </row>
    <row r="115" spans="1:64" s="92" customFormat="1" x14ac:dyDescent="0.2">
      <c r="A115" s="86">
        <v>112</v>
      </c>
      <c r="B115" s="86" t="s">
        <v>63</v>
      </c>
      <c r="C115" s="91" t="s">
        <v>54</v>
      </c>
      <c r="D115" s="91" t="s">
        <v>194</v>
      </c>
      <c r="E115" s="88">
        <v>29.060607121599386</v>
      </c>
      <c r="F115" s="94">
        <v>1933.5</v>
      </c>
      <c r="G115" s="91">
        <v>2011.1</v>
      </c>
      <c r="H115" s="86" t="s">
        <v>47</v>
      </c>
      <c r="I115" s="91">
        <v>1.94</v>
      </c>
      <c r="J115" s="91">
        <v>2.2999999999999998</v>
      </c>
      <c r="K115" s="96">
        <v>1.0805696438601569</v>
      </c>
      <c r="L115" s="96">
        <v>1.7399999999999999E-2</v>
      </c>
      <c r="M115" s="88">
        <v>72.366043626414637</v>
      </c>
      <c r="N115" s="97">
        <v>17.399999999999999</v>
      </c>
      <c r="O115" s="38">
        <v>72.366043626414637</v>
      </c>
      <c r="P115" s="169">
        <v>1.0805696438601569</v>
      </c>
      <c r="Q115" s="91">
        <v>36.56</v>
      </c>
      <c r="R115" s="98">
        <v>100</v>
      </c>
      <c r="S115" s="94">
        <v>22.8</v>
      </c>
      <c r="T115" s="88">
        <v>20.121786197564276</v>
      </c>
      <c r="U115" s="86">
        <f t="shared" si="1"/>
        <v>2.6782138024357245</v>
      </c>
      <c r="V115" s="86" t="s">
        <v>48</v>
      </c>
      <c r="W115" s="86" t="s">
        <v>56</v>
      </c>
      <c r="X115" s="91" t="s">
        <v>195</v>
      </c>
      <c r="Y115" s="86" t="s">
        <v>58</v>
      </c>
      <c r="Z115" s="91"/>
      <c r="AA115" s="91"/>
      <c r="AB115" s="91" t="s">
        <v>194</v>
      </c>
      <c r="AC115" s="86" t="s">
        <v>153</v>
      </c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86"/>
      <c r="AW115" s="86"/>
      <c r="AX115" s="86"/>
      <c r="AY115" s="86"/>
      <c r="AZ115" s="86"/>
      <c r="BA115" s="86"/>
      <c r="BB115" s="86"/>
      <c r="BC115" s="86"/>
      <c r="BD115" s="86"/>
      <c r="BE115" s="86"/>
      <c r="BF115" s="86"/>
      <c r="BG115" s="86"/>
      <c r="BH115" s="86"/>
      <c r="BI115" s="91"/>
      <c r="BK115" s="86" t="s">
        <v>149</v>
      </c>
    </row>
    <row r="116" spans="1:64" s="92" customFormat="1" x14ac:dyDescent="0.2">
      <c r="A116" s="86">
        <v>113</v>
      </c>
      <c r="B116" s="86" t="s">
        <v>63</v>
      </c>
      <c r="C116" s="86" t="s">
        <v>54</v>
      </c>
      <c r="D116" s="91" t="s">
        <v>196</v>
      </c>
      <c r="E116" s="88">
        <v>33.081285444234403</v>
      </c>
      <c r="F116" s="86">
        <v>1956.1</v>
      </c>
      <c r="G116" s="86">
        <v>2011.2</v>
      </c>
      <c r="H116" s="86" t="s">
        <v>47</v>
      </c>
      <c r="I116" s="86">
        <v>1.98</v>
      </c>
      <c r="J116" s="86">
        <v>2.31</v>
      </c>
      <c r="K116" s="96">
        <v>1.0829241596006682</v>
      </c>
      <c r="L116" s="96">
        <v>1.6200000000000003E-2</v>
      </c>
      <c r="M116" s="88">
        <v>74.702684067551544</v>
      </c>
      <c r="N116" s="97">
        <v>16.200000000000003</v>
      </c>
      <c r="O116" s="38">
        <v>74.702684067551544</v>
      </c>
      <c r="P116" s="165">
        <v>1.0829241596006682</v>
      </c>
      <c r="Q116" s="91" t="s">
        <v>197</v>
      </c>
      <c r="R116" s="98">
        <v>100</v>
      </c>
      <c r="S116" s="86">
        <v>41.25</v>
      </c>
      <c r="T116" s="88">
        <v>38.434821831303566</v>
      </c>
      <c r="U116" s="86">
        <f t="shared" si="1"/>
        <v>2.8151781686964341</v>
      </c>
      <c r="V116" s="86" t="s">
        <v>48</v>
      </c>
      <c r="W116" s="91" t="s">
        <v>49</v>
      </c>
      <c r="X116" s="86" t="s">
        <v>155</v>
      </c>
      <c r="Y116" s="86" t="s">
        <v>58</v>
      </c>
      <c r="Z116" s="86"/>
      <c r="AA116" s="86"/>
      <c r="AB116" s="91" t="s">
        <v>196</v>
      </c>
      <c r="AC116" s="86" t="s">
        <v>160</v>
      </c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 t="s">
        <v>198</v>
      </c>
      <c r="BK116" s="86" t="s">
        <v>149</v>
      </c>
    </row>
    <row r="117" spans="1:64" s="92" customFormat="1" x14ac:dyDescent="0.2">
      <c r="A117" s="86">
        <v>114</v>
      </c>
      <c r="B117" s="86" t="s">
        <v>63</v>
      </c>
      <c r="C117" s="86" t="s">
        <v>45</v>
      </c>
      <c r="D117" s="104" t="s">
        <v>196</v>
      </c>
      <c r="E117" s="88">
        <v>33.081285444234403</v>
      </c>
      <c r="F117" s="86">
        <v>1956.1</v>
      </c>
      <c r="G117" s="86">
        <v>2011.2</v>
      </c>
      <c r="H117" s="86" t="s">
        <v>47</v>
      </c>
      <c r="I117" s="86">
        <v>1.95</v>
      </c>
      <c r="J117" s="103">
        <v>2.04</v>
      </c>
      <c r="K117" s="96">
        <v>1.0122496919969797</v>
      </c>
      <c r="L117" s="96">
        <v>1.8200000000000001E-2</v>
      </c>
      <c r="M117" s="88">
        <v>4.564771495042752</v>
      </c>
      <c r="N117" s="97">
        <v>18.2</v>
      </c>
      <c r="O117" s="18">
        <f>(M117-M116*(1-R117/100))*100/R117</f>
        <v>8.7883458499633249E-2</v>
      </c>
      <c r="P117" s="19">
        <f>(K117-K116*(1-R117/100))*100/R117</f>
        <v>1.0077385557669569</v>
      </c>
      <c r="Q117" s="91" t="s">
        <v>199</v>
      </c>
      <c r="R117" s="91">
        <v>94</v>
      </c>
      <c r="S117" s="86">
        <v>18.7</v>
      </c>
      <c r="T117" s="88">
        <v>18.001804239963914</v>
      </c>
      <c r="U117" s="86">
        <f t="shared" si="1"/>
        <v>0.69819576003608574</v>
      </c>
      <c r="V117" s="86" t="s">
        <v>48</v>
      </c>
      <c r="W117" s="91" t="s">
        <v>49</v>
      </c>
      <c r="X117" s="86" t="s">
        <v>155</v>
      </c>
      <c r="Y117" s="86" t="s">
        <v>58</v>
      </c>
      <c r="Z117" s="86"/>
      <c r="AA117" s="86"/>
      <c r="AB117" s="104" t="s">
        <v>196</v>
      </c>
      <c r="AC117" s="86" t="s">
        <v>160</v>
      </c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 s="86"/>
      <c r="BH117" s="86"/>
      <c r="BI117" s="86"/>
      <c r="BJ117" s="86" t="s">
        <v>198</v>
      </c>
      <c r="BK117" s="86" t="s">
        <v>149</v>
      </c>
    </row>
    <row r="118" spans="1:64" s="92" customFormat="1" x14ac:dyDescent="0.2">
      <c r="A118" s="86">
        <v>115</v>
      </c>
      <c r="B118" s="86" t="s">
        <v>63</v>
      </c>
      <c r="C118" s="91" t="s">
        <v>54</v>
      </c>
      <c r="D118" s="91" t="s">
        <v>200</v>
      </c>
      <c r="E118" s="86">
        <v>24.3</v>
      </c>
      <c r="F118" s="94">
        <v>1955.7</v>
      </c>
      <c r="G118" s="91">
        <v>2011.3</v>
      </c>
      <c r="H118" s="95" t="s">
        <v>47</v>
      </c>
      <c r="I118" s="91">
        <v>1.95</v>
      </c>
      <c r="J118" s="91">
        <v>2.2799999999999998</v>
      </c>
      <c r="K118" s="96">
        <v>1.11436092504611</v>
      </c>
      <c r="L118" s="96">
        <v>1.9799999999999998E-2</v>
      </c>
      <c r="M118" s="88">
        <v>105.90078404814184</v>
      </c>
      <c r="N118" s="97">
        <v>19.8</v>
      </c>
      <c r="O118" s="28">
        <v>105.90078404814184</v>
      </c>
      <c r="P118" s="164">
        <v>1.11436092504611</v>
      </c>
      <c r="Q118" s="91">
        <v>67.8</v>
      </c>
      <c r="R118" s="98">
        <v>100</v>
      </c>
      <c r="S118" s="94">
        <v>13.950000000000001</v>
      </c>
      <c r="T118" s="88">
        <v>12.408660351826793</v>
      </c>
      <c r="U118" s="86">
        <f t="shared" si="1"/>
        <v>1.5413396481732082</v>
      </c>
      <c r="V118" s="86" t="s">
        <v>48</v>
      </c>
      <c r="W118" s="91" t="s">
        <v>49</v>
      </c>
      <c r="X118" s="86" t="s">
        <v>155</v>
      </c>
      <c r="Y118" s="86" t="s">
        <v>51</v>
      </c>
      <c r="Z118" s="86" t="s">
        <v>166</v>
      </c>
      <c r="AA118" s="86" t="s">
        <v>51</v>
      </c>
      <c r="AB118" s="91" t="s">
        <v>200</v>
      </c>
      <c r="AC118" s="86" t="s">
        <v>160</v>
      </c>
      <c r="AD118" s="86">
        <v>10</v>
      </c>
      <c r="AE118" s="86" t="s">
        <v>190</v>
      </c>
      <c r="AF118" s="94">
        <f>G118-AD118</f>
        <v>2001.3</v>
      </c>
      <c r="AG118" s="94">
        <f>G118</f>
        <v>2011.3</v>
      </c>
      <c r="AH118" s="86">
        <v>0.5</v>
      </c>
      <c r="AI118" s="86" t="s">
        <v>160</v>
      </c>
      <c r="AJ118" s="86">
        <v>2010.8</v>
      </c>
      <c r="AK118" s="86">
        <v>2011.3</v>
      </c>
      <c r="AL118" s="86" t="s">
        <v>44</v>
      </c>
      <c r="AM118" s="86"/>
      <c r="AN118" s="86" t="s">
        <v>44</v>
      </c>
      <c r="AO118" s="86">
        <v>2010.8</v>
      </c>
      <c r="AP118" s="86">
        <v>2011.3</v>
      </c>
      <c r="AQ118" s="86"/>
      <c r="AR118" s="86"/>
      <c r="AS118" s="86"/>
      <c r="AT118" s="86"/>
      <c r="AU118" s="86"/>
      <c r="AV118" s="86"/>
      <c r="AW118" s="86"/>
      <c r="AX118" s="86"/>
      <c r="AY118" s="86"/>
      <c r="AZ118" s="86"/>
      <c r="BA118" s="86"/>
      <c r="BB118" s="86"/>
      <c r="BC118" s="86"/>
      <c r="BD118" s="86"/>
      <c r="BE118" s="86"/>
      <c r="BF118" s="86" t="s">
        <v>153</v>
      </c>
      <c r="BG118" s="86">
        <v>2010.8</v>
      </c>
      <c r="BH118" s="86">
        <f>G118</f>
        <v>2011.3</v>
      </c>
      <c r="BI118" s="86">
        <v>0.5</v>
      </c>
      <c r="BJ118" s="86"/>
      <c r="BK118" s="86" t="s">
        <v>149</v>
      </c>
    </row>
    <row r="119" spans="1:64" s="112" customFormat="1" x14ac:dyDescent="0.2">
      <c r="A119" s="105">
        <v>116</v>
      </c>
      <c r="B119" s="106" t="s">
        <v>44</v>
      </c>
      <c r="C119" s="105" t="s">
        <v>45</v>
      </c>
      <c r="D119" s="106" t="s">
        <v>201</v>
      </c>
      <c r="E119" s="107">
        <v>25.9</v>
      </c>
      <c r="F119" s="105">
        <v>1943.4</v>
      </c>
      <c r="G119" s="105">
        <v>2011.4</v>
      </c>
      <c r="H119" s="105" t="s">
        <v>47</v>
      </c>
      <c r="I119" s="105">
        <v>1.98</v>
      </c>
      <c r="J119" s="105">
        <v>2.2999999999999998</v>
      </c>
      <c r="K119" s="105">
        <v>1.0097</v>
      </c>
      <c r="L119" s="105">
        <v>1.4E-2</v>
      </c>
      <c r="M119" s="105">
        <v>2.2000000000000002</v>
      </c>
      <c r="N119" s="105">
        <v>14</v>
      </c>
      <c r="O119" s="11">
        <v>2.2000000000000002</v>
      </c>
      <c r="P119" s="66">
        <f>(K119-1.090021335*(1-R119/100))*100/R119</f>
        <v>1.0046911161537235</v>
      </c>
      <c r="Q119" s="108">
        <v>18.27</v>
      </c>
      <c r="R119" s="109">
        <v>94.13</v>
      </c>
      <c r="S119" s="105">
        <v>24.233333333333334</v>
      </c>
      <c r="T119" s="110">
        <v>19.986468200270636</v>
      </c>
      <c r="U119" s="105">
        <f t="shared" si="1"/>
        <v>4.2468651330626983</v>
      </c>
      <c r="V119" s="105" t="s">
        <v>48</v>
      </c>
      <c r="W119" s="105" t="s">
        <v>49</v>
      </c>
      <c r="X119" s="105" t="s">
        <v>155</v>
      </c>
      <c r="Y119" s="105" t="s">
        <v>51</v>
      </c>
      <c r="Z119" s="105"/>
      <c r="AA119" s="105" t="s">
        <v>51</v>
      </c>
      <c r="AB119" s="106" t="s">
        <v>201</v>
      </c>
      <c r="AC119" s="105" t="s">
        <v>160</v>
      </c>
      <c r="AD119" s="105">
        <v>20</v>
      </c>
      <c r="AE119" s="105" t="s">
        <v>160</v>
      </c>
      <c r="AF119" s="111">
        <f>G119-AD119</f>
        <v>1991.4</v>
      </c>
      <c r="AG119" s="111">
        <f>G119</f>
        <v>2011.4</v>
      </c>
      <c r="AH119" s="105"/>
      <c r="AI119" s="105"/>
      <c r="AJ119" s="105"/>
      <c r="AK119" s="105"/>
      <c r="AL119" s="105" t="s">
        <v>44</v>
      </c>
      <c r="AM119" s="105"/>
      <c r="AN119" s="105"/>
      <c r="AO119" s="105"/>
      <c r="AP119" s="105"/>
      <c r="AQ119" s="105" t="s">
        <v>44</v>
      </c>
      <c r="AR119" s="105">
        <v>2006.5</v>
      </c>
      <c r="AS119" s="105">
        <v>2007</v>
      </c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 t="s">
        <v>153</v>
      </c>
      <c r="BG119" s="105">
        <v>2006.5</v>
      </c>
      <c r="BH119" s="105">
        <f>BG119+BI119</f>
        <v>2007</v>
      </c>
      <c r="BI119" s="105">
        <v>0.5</v>
      </c>
      <c r="BJ119" s="105" t="s">
        <v>202</v>
      </c>
      <c r="BK119" s="105" t="s">
        <v>149</v>
      </c>
      <c r="BL119" s="112" t="s">
        <v>383</v>
      </c>
    </row>
    <row r="120" spans="1:64" s="92" customFormat="1" x14ac:dyDescent="0.2">
      <c r="A120" s="86">
        <v>117</v>
      </c>
      <c r="B120" s="86" t="s">
        <v>63</v>
      </c>
      <c r="C120" s="86" t="s">
        <v>45</v>
      </c>
      <c r="D120" s="104" t="s">
        <v>203</v>
      </c>
      <c r="E120" s="99">
        <v>30.49</v>
      </c>
      <c r="F120" s="86">
        <v>1946.8</v>
      </c>
      <c r="G120" s="86">
        <v>2011.5</v>
      </c>
      <c r="H120" s="86" t="s">
        <v>47</v>
      </c>
      <c r="I120" s="86">
        <v>1.95</v>
      </c>
      <c r="J120" s="86">
        <v>2.1800000000000002</v>
      </c>
      <c r="K120" s="96">
        <v>0.95549800471047686</v>
      </c>
      <c r="L120" s="96">
        <v>1.9199999999999998E-2</v>
      </c>
      <c r="M120" s="88">
        <v>-51.756061419662601</v>
      </c>
      <c r="N120" s="97">
        <v>19.2</v>
      </c>
      <c r="O120" s="28">
        <v>-51.756061419662601</v>
      </c>
      <c r="P120" s="66">
        <f>(K120-1.09195319*(1-R120/100))*100/R120</f>
        <v>0.9512777412479142</v>
      </c>
      <c r="Q120" s="91" t="s">
        <v>204</v>
      </c>
      <c r="R120" s="113">
        <v>97</v>
      </c>
      <c r="S120" s="86">
        <v>21.233333333333334</v>
      </c>
      <c r="T120" s="88">
        <v>18.903924221921518</v>
      </c>
      <c r="U120" s="86">
        <f t="shared" si="1"/>
        <v>2.3294091114118167</v>
      </c>
      <c r="V120" s="86" t="s">
        <v>48</v>
      </c>
      <c r="W120" s="91" t="s">
        <v>49</v>
      </c>
      <c r="X120" s="86" t="s">
        <v>155</v>
      </c>
      <c r="Y120" s="91" t="s">
        <v>58</v>
      </c>
      <c r="Z120" s="86"/>
      <c r="AA120" s="86"/>
      <c r="AB120" s="104" t="s">
        <v>203</v>
      </c>
      <c r="AC120" s="86" t="s">
        <v>160</v>
      </c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86"/>
      <c r="AW120" s="86"/>
      <c r="AX120" s="86"/>
      <c r="AY120" s="86"/>
      <c r="AZ120" s="86"/>
      <c r="BA120" s="86"/>
      <c r="BB120" s="86"/>
      <c r="BC120" s="86"/>
      <c r="BD120" s="86"/>
      <c r="BE120" s="86"/>
      <c r="BF120" s="86"/>
      <c r="BG120" s="86"/>
      <c r="BH120" s="86"/>
      <c r="BI120" s="86"/>
      <c r="BJ120" s="86"/>
      <c r="BK120" s="86" t="s">
        <v>149</v>
      </c>
    </row>
    <row r="121" spans="1:64" s="92" customFormat="1" x14ac:dyDescent="0.2">
      <c r="A121" s="86">
        <v>118</v>
      </c>
      <c r="B121" s="93" t="s">
        <v>63</v>
      </c>
      <c r="C121" s="91" t="s">
        <v>54</v>
      </c>
      <c r="D121" s="91" t="s">
        <v>205</v>
      </c>
      <c r="E121" s="99">
        <v>29.07</v>
      </c>
      <c r="F121" s="91">
        <v>1954.3</v>
      </c>
      <c r="G121" s="91">
        <v>2011.8</v>
      </c>
      <c r="H121" s="95" t="s">
        <v>47</v>
      </c>
      <c r="I121" s="91">
        <v>2</v>
      </c>
      <c r="J121" s="91">
        <v>2.27</v>
      </c>
      <c r="K121" s="96">
        <v>1.0764785085399526</v>
      </c>
      <c r="L121" s="96">
        <v>1.24E-2</v>
      </c>
      <c r="M121" s="88">
        <v>68.305967885627709</v>
      </c>
      <c r="N121" s="97">
        <v>12.4</v>
      </c>
      <c r="O121" s="38">
        <v>68.305967885627709</v>
      </c>
      <c r="P121" s="30">
        <v>1.0764785085399526</v>
      </c>
      <c r="Q121" s="91">
        <v>63.7</v>
      </c>
      <c r="R121" s="98">
        <v>100</v>
      </c>
      <c r="S121" s="94">
        <v>62.266666666666673</v>
      </c>
      <c r="T121" s="88">
        <v>53.410013531799734</v>
      </c>
      <c r="U121" s="86">
        <f t="shared" si="1"/>
        <v>8.8566531348669386</v>
      </c>
      <c r="V121" s="86" t="s">
        <v>48</v>
      </c>
      <c r="W121" s="91" t="s">
        <v>59</v>
      </c>
      <c r="X121" s="86" t="s">
        <v>206</v>
      </c>
      <c r="Y121" s="86" t="s">
        <v>58</v>
      </c>
      <c r="Z121" s="86"/>
      <c r="AA121" s="86"/>
      <c r="AB121" s="91" t="s">
        <v>205</v>
      </c>
      <c r="AC121" s="86" t="s">
        <v>153</v>
      </c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86"/>
      <c r="AW121" s="86"/>
      <c r="AX121" s="86"/>
      <c r="AY121" s="86"/>
      <c r="AZ121" s="86"/>
      <c r="BA121" s="86"/>
      <c r="BB121" s="86"/>
      <c r="BC121" s="86"/>
      <c r="BD121" s="86"/>
      <c r="BE121" s="86"/>
      <c r="BF121" s="86"/>
      <c r="BG121" s="86"/>
      <c r="BH121" s="86"/>
      <c r="BI121" s="86"/>
      <c r="BJ121" s="86" t="s">
        <v>207</v>
      </c>
      <c r="BK121" s="86" t="s">
        <v>149</v>
      </c>
    </row>
    <row r="122" spans="1:64" s="92" customFormat="1" x14ac:dyDescent="0.2">
      <c r="A122" s="86">
        <v>119</v>
      </c>
      <c r="B122" s="93" t="s">
        <v>63</v>
      </c>
      <c r="C122" s="91" t="s">
        <v>45</v>
      </c>
      <c r="D122" s="91" t="s">
        <v>205</v>
      </c>
      <c r="E122" s="99">
        <v>29.07</v>
      </c>
      <c r="F122" s="91">
        <v>1954.3</v>
      </c>
      <c r="G122" s="91">
        <v>2011.8</v>
      </c>
      <c r="H122" s="95" t="s">
        <v>47</v>
      </c>
      <c r="I122" s="91">
        <v>1.94</v>
      </c>
      <c r="J122" s="91">
        <v>1.7</v>
      </c>
      <c r="K122" s="96">
        <v>1.0468539072027172</v>
      </c>
      <c r="L122" s="96">
        <v>1.44E-2</v>
      </c>
      <c r="M122" s="88">
        <v>38.906274205048774</v>
      </c>
      <c r="N122" s="97">
        <v>14.399999999999999</v>
      </c>
      <c r="O122" s="18">
        <f>(M122-M121*(1-R122/100))*100/R122</f>
        <v>37.029698012671389</v>
      </c>
      <c r="P122" s="19">
        <f>(K122-K121*(1-R122/100))*100/R122</f>
        <v>1.0449629752024681</v>
      </c>
      <c r="Q122" s="91">
        <v>11.8</v>
      </c>
      <c r="R122" s="94">
        <v>94</v>
      </c>
      <c r="S122" s="94">
        <v>30.166666666666668</v>
      </c>
      <c r="T122" s="88">
        <v>27.564276048714483</v>
      </c>
      <c r="U122" s="86">
        <f t="shared" si="1"/>
        <v>2.6023906179521852</v>
      </c>
      <c r="V122" s="86" t="s">
        <v>48</v>
      </c>
      <c r="W122" s="91" t="s">
        <v>59</v>
      </c>
      <c r="X122" s="86" t="s">
        <v>206</v>
      </c>
      <c r="Y122" s="86" t="s">
        <v>58</v>
      </c>
      <c r="Z122" s="86"/>
      <c r="AA122" s="86"/>
      <c r="AB122" s="91" t="s">
        <v>205</v>
      </c>
      <c r="AC122" s="86" t="s">
        <v>153</v>
      </c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86"/>
      <c r="AW122" s="86"/>
      <c r="AX122" s="86"/>
      <c r="AY122" s="86"/>
      <c r="AZ122" s="86"/>
      <c r="BA122" s="86"/>
      <c r="BB122" s="86"/>
      <c r="BC122" s="86"/>
      <c r="BD122" s="86"/>
      <c r="BE122" s="86"/>
      <c r="BF122" s="86"/>
      <c r="BG122" s="86"/>
      <c r="BH122" s="86"/>
      <c r="BI122" s="86"/>
      <c r="BJ122" s="86" t="s">
        <v>207</v>
      </c>
      <c r="BK122" s="86" t="s">
        <v>149</v>
      </c>
    </row>
    <row r="123" spans="1:64" s="92" customFormat="1" x14ac:dyDescent="0.2">
      <c r="A123" s="86">
        <v>120</v>
      </c>
      <c r="B123" s="86" t="s">
        <v>63</v>
      </c>
      <c r="C123" s="91" t="s">
        <v>54</v>
      </c>
      <c r="D123" s="91" t="s">
        <v>208</v>
      </c>
      <c r="E123" s="99">
        <v>32.22</v>
      </c>
      <c r="F123" s="94">
        <v>1968.3</v>
      </c>
      <c r="G123" s="91">
        <v>2012.1</v>
      </c>
      <c r="H123" s="86" t="s">
        <v>47</v>
      </c>
      <c r="I123" s="91">
        <v>1.97</v>
      </c>
      <c r="J123" s="91">
        <v>2.33</v>
      </c>
      <c r="K123" s="96">
        <v>1.4232</v>
      </c>
      <c r="L123" s="96">
        <v>1.2200000000000001E-2</v>
      </c>
      <c r="M123" s="114">
        <v>412.4</v>
      </c>
      <c r="N123" s="97">
        <v>12</v>
      </c>
      <c r="O123" s="170">
        <v>412.4</v>
      </c>
      <c r="P123" s="27">
        <v>1.4232</v>
      </c>
      <c r="Q123" s="91">
        <v>191.98</v>
      </c>
      <c r="R123" s="98">
        <v>100</v>
      </c>
      <c r="S123" s="94">
        <v>123.5</v>
      </c>
      <c r="T123" s="88">
        <v>96.8</v>
      </c>
      <c r="U123" s="86">
        <f t="shared" si="1"/>
        <v>26.700000000000003</v>
      </c>
      <c r="V123" s="86" t="s">
        <v>48</v>
      </c>
      <c r="W123" s="86" t="s">
        <v>59</v>
      </c>
      <c r="X123" s="86" t="s">
        <v>209</v>
      </c>
      <c r="Y123" s="86" t="s">
        <v>51</v>
      </c>
      <c r="Z123" s="86"/>
      <c r="AA123" s="86" t="s">
        <v>51</v>
      </c>
      <c r="AB123" s="91" t="s">
        <v>208</v>
      </c>
      <c r="AC123" s="86" t="s">
        <v>160</v>
      </c>
      <c r="AD123" s="86" t="s">
        <v>59</v>
      </c>
      <c r="AE123" s="86" t="s">
        <v>160</v>
      </c>
      <c r="AF123" s="86" t="s">
        <v>187</v>
      </c>
      <c r="AG123" s="86" t="s">
        <v>187</v>
      </c>
      <c r="AH123" s="86"/>
      <c r="AI123" s="86"/>
      <c r="AJ123" s="86"/>
      <c r="AK123" s="86"/>
      <c r="AL123" s="86" t="s">
        <v>44</v>
      </c>
      <c r="AM123" s="86"/>
      <c r="AN123" s="86" t="s">
        <v>44</v>
      </c>
      <c r="AO123" s="86">
        <v>2011.3</v>
      </c>
      <c r="AP123" s="86">
        <v>2011.8</v>
      </c>
      <c r="AQ123" s="86"/>
      <c r="AR123" s="86"/>
      <c r="AS123" s="86"/>
      <c r="AT123" s="86"/>
      <c r="AU123" s="86"/>
      <c r="AV123" s="86"/>
      <c r="AW123" s="86"/>
      <c r="AX123" s="86"/>
      <c r="AY123" s="86"/>
      <c r="AZ123" s="86"/>
      <c r="BA123" s="86"/>
      <c r="BB123" s="86"/>
      <c r="BC123" s="86"/>
      <c r="BD123" s="86"/>
      <c r="BE123" s="86"/>
      <c r="BF123" s="86" t="s">
        <v>153</v>
      </c>
      <c r="BG123" s="86">
        <v>2011.3</v>
      </c>
      <c r="BH123" s="86">
        <f t="shared" ref="BH123:BH128" si="2">BG123+BI123</f>
        <v>2011.8</v>
      </c>
      <c r="BI123" s="86">
        <v>0.5</v>
      </c>
      <c r="BJ123" s="86"/>
      <c r="BK123" s="86" t="s">
        <v>149</v>
      </c>
    </row>
    <row r="124" spans="1:64" s="92" customFormat="1" x14ac:dyDescent="0.2">
      <c r="A124" s="86">
        <v>121</v>
      </c>
      <c r="B124" s="86" t="s">
        <v>63</v>
      </c>
      <c r="C124" s="91" t="s">
        <v>45</v>
      </c>
      <c r="D124" s="91" t="s">
        <v>208</v>
      </c>
      <c r="E124" s="99">
        <v>32.22</v>
      </c>
      <c r="F124" s="94">
        <v>1968.3</v>
      </c>
      <c r="G124" s="91">
        <v>2012.1</v>
      </c>
      <c r="H124" s="86" t="s">
        <v>47</v>
      </c>
      <c r="I124" s="91">
        <v>1.97</v>
      </c>
      <c r="J124" s="91">
        <v>2.0699999999999998</v>
      </c>
      <c r="K124" s="96">
        <v>1.4832000000000001</v>
      </c>
      <c r="L124" s="96">
        <v>1.5800000000000002E-2</v>
      </c>
      <c r="M124" s="114">
        <v>471.9</v>
      </c>
      <c r="N124" s="97">
        <v>16</v>
      </c>
      <c r="O124" s="18">
        <f>(M124-M123*(1-R124/100))*100/R124</f>
        <v>473.42564102564103</v>
      </c>
      <c r="P124" s="19">
        <f>(K124-K123*(1-R124/100))*100/R124</f>
        <v>1.4847384615384616</v>
      </c>
      <c r="Q124" s="91">
        <v>24.45</v>
      </c>
      <c r="R124" s="91">
        <v>97.5</v>
      </c>
      <c r="S124" s="94">
        <v>30.933333333333334</v>
      </c>
      <c r="T124" s="88">
        <v>28.4</v>
      </c>
      <c r="U124" s="86">
        <f t="shared" si="1"/>
        <v>2.533333333333335</v>
      </c>
      <c r="V124" s="86" t="s">
        <v>48</v>
      </c>
      <c r="W124" s="86" t="s">
        <v>59</v>
      </c>
      <c r="X124" s="86" t="s">
        <v>209</v>
      </c>
      <c r="Y124" s="86" t="s">
        <v>51</v>
      </c>
      <c r="Z124" s="86"/>
      <c r="AA124" s="86" t="s">
        <v>51</v>
      </c>
      <c r="AB124" s="91" t="s">
        <v>208</v>
      </c>
      <c r="AC124" s="86" t="s">
        <v>160</v>
      </c>
      <c r="AD124" s="86" t="s">
        <v>59</v>
      </c>
      <c r="AE124" s="86" t="s">
        <v>160</v>
      </c>
      <c r="AF124" s="86" t="s">
        <v>187</v>
      </c>
      <c r="AG124" s="86" t="s">
        <v>187</v>
      </c>
      <c r="AH124" s="86"/>
      <c r="AI124" s="86"/>
      <c r="AJ124" s="86"/>
      <c r="AK124" s="86"/>
      <c r="AL124" s="86" t="s">
        <v>44</v>
      </c>
      <c r="AM124" s="86"/>
      <c r="AN124" s="86" t="s">
        <v>44</v>
      </c>
      <c r="AO124" s="86">
        <v>2011.3</v>
      </c>
      <c r="AP124" s="86">
        <v>2011.8</v>
      </c>
      <c r="AQ124" s="86"/>
      <c r="AR124" s="86"/>
      <c r="AS124" s="86"/>
      <c r="AT124" s="86"/>
      <c r="AU124" s="86"/>
      <c r="AV124" s="86"/>
      <c r="AW124" s="86"/>
      <c r="AX124" s="86"/>
      <c r="AY124" s="86"/>
      <c r="AZ124" s="86"/>
      <c r="BA124" s="86"/>
      <c r="BB124" s="86"/>
      <c r="BC124" s="86"/>
      <c r="BD124" s="86"/>
      <c r="BE124" s="86"/>
      <c r="BF124" s="86" t="s">
        <v>153</v>
      </c>
      <c r="BG124" s="86">
        <v>2011.3</v>
      </c>
      <c r="BH124" s="86">
        <f t="shared" si="2"/>
        <v>2011.8</v>
      </c>
      <c r="BI124" s="86">
        <v>0.5</v>
      </c>
      <c r="BJ124" s="86"/>
      <c r="BK124" s="86" t="s">
        <v>149</v>
      </c>
    </row>
    <row r="125" spans="1:64" s="92" customFormat="1" x14ac:dyDescent="0.2">
      <c r="A125" s="86">
        <v>122</v>
      </c>
      <c r="B125" s="86" t="s">
        <v>63</v>
      </c>
      <c r="C125" s="91" t="s">
        <v>54</v>
      </c>
      <c r="D125" s="91" t="s">
        <v>210</v>
      </c>
      <c r="E125" s="88">
        <v>27.146814404432135</v>
      </c>
      <c r="F125" s="94">
        <v>1971.2</v>
      </c>
      <c r="G125" s="91">
        <v>2012.2</v>
      </c>
      <c r="H125" s="86" t="s">
        <v>47</v>
      </c>
      <c r="I125" s="91">
        <v>1.97</v>
      </c>
      <c r="J125" s="91">
        <v>2.31</v>
      </c>
      <c r="K125" s="115">
        <v>1.2975637439758674</v>
      </c>
      <c r="L125" s="115">
        <v>1.5800000000000002E-2</v>
      </c>
      <c r="M125" s="116">
        <v>287.71274150336666</v>
      </c>
      <c r="N125" s="117">
        <v>15.8</v>
      </c>
      <c r="O125" s="171">
        <v>287.71274150336666</v>
      </c>
      <c r="P125" s="172">
        <v>1.2975637439758674</v>
      </c>
      <c r="Q125" s="91">
        <v>61.6</v>
      </c>
      <c r="R125" s="98">
        <v>100</v>
      </c>
      <c r="S125" s="94">
        <v>17.966666666666665</v>
      </c>
      <c r="T125" s="116">
        <v>14.483536310329272</v>
      </c>
      <c r="U125" s="86">
        <f t="shared" si="1"/>
        <v>3.4831303563373925</v>
      </c>
      <c r="V125" s="86" t="s">
        <v>48</v>
      </c>
      <c r="W125" s="86" t="s">
        <v>59</v>
      </c>
      <c r="X125" s="86" t="s">
        <v>211</v>
      </c>
      <c r="Y125" s="86" t="s">
        <v>51</v>
      </c>
      <c r="Z125" s="86"/>
      <c r="AA125" s="86" t="s">
        <v>287</v>
      </c>
      <c r="AB125" s="91" t="s">
        <v>210</v>
      </c>
      <c r="AC125" s="86" t="s">
        <v>160</v>
      </c>
      <c r="AD125" s="86">
        <v>20</v>
      </c>
      <c r="AE125" s="86" t="s">
        <v>160</v>
      </c>
      <c r="AF125" s="94">
        <f t="shared" ref="AF125:AF131" si="3">G125-AD125</f>
        <v>1992.2</v>
      </c>
      <c r="AG125" s="94">
        <f t="shared" ref="AG125:AG131" si="4">G125</f>
        <v>2012.2</v>
      </c>
      <c r="AH125" s="86"/>
      <c r="AI125" s="86"/>
      <c r="AJ125" s="86"/>
      <c r="AK125" s="86"/>
      <c r="AL125" s="86" t="s">
        <v>44</v>
      </c>
      <c r="AM125" s="86"/>
      <c r="AN125" s="86" t="s">
        <v>44</v>
      </c>
      <c r="AO125" s="86">
        <v>2005.8</v>
      </c>
      <c r="AP125" s="86">
        <v>2008.8</v>
      </c>
      <c r="AQ125" s="86"/>
      <c r="AR125" s="86"/>
      <c r="AS125" s="86"/>
      <c r="AT125" s="86" t="s">
        <v>44</v>
      </c>
      <c r="AU125" s="86">
        <v>2007.8</v>
      </c>
      <c r="AV125" s="86">
        <v>2007.8</v>
      </c>
      <c r="AW125" s="86" t="s">
        <v>44</v>
      </c>
      <c r="AX125" s="86">
        <v>2011.6</v>
      </c>
      <c r="AY125" s="86"/>
      <c r="AZ125" s="86"/>
      <c r="BA125" s="86"/>
      <c r="BB125" s="86"/>
      <c r="BC125" s="86" t="s">
        <v>44</v>
      </c>
      <c r="BD125" s="86">
        <v>2012</v>
      </c>
      <c r="BE125" s="86"/>
      <c r="BF125" s="86" t="s">
        <v>153</v>
      </c>
      <c r="BG125" s="86">
        <v>2005.8</v>
      </c>
      <c r="BH125" s="86">
        <f>BG125+BI125</f>
        <v>2008.8</v>
      </c>
      <c r="BI125" s="86">
        <v>3</v>
      </c>
      <c r="BJ125" s="86" t="s">
        <v>212</v>
      </c>
      <c r="BK125" s="86" t="s">
        <v>149</v>
      </c>
    </row>
    <row r="126" spans="1:64" s="92" customFormat="1" x14ac:dyDescent="0.2">
      <c r="A126" s="86">
        <v>123</v>
      </c>
      <c r="B126" s="86" t="s">
        <v>63</v>
      </c>
      <c r="C126" s="91" t="s">
        <v>45</v>
      </c>
      <c r="D126" s="91" t="s">
        <v>210</v>
      </c>
      <c r="E126" s="88">
        <v>27.146814404432135</v>
      </c>
      <c r="F126" s="94">
        <v>1971.2</v>
      </c>
      <c r="G126" s="91">
        <v>2012.2</v>
      </c>
      <c r="H126" s="86" t="s">
        <v>47</v>
      </c>
      <c r="I126" s="91">
        <v>1.9</v>
      </c>
      <c r="J126" s="91">
        <v>2.1800000000000002</v>
      </c>
      <c r="K126" s="118">
        <v>1.3904858603727803</v>
      </c>
      <c r="L126" s="115">
        <v>2.1400000000000002E-2</v>
      </c>
      <c r="M126" s="116">
        <v>379.92940045926701</v>
      </c>
      <c r="N126" s="117">
        <v>21.400000000000002</v>
      </c>
      <c r="O126" s="18">
        <f>(M126-M125*(1-R126/100))*100/R126</f>
        <v>384.02256808916337</v>
      </c>
      <c r="P126" s="19">
        <f>(K126-K125*(1-R126/100))*100/R126</f>
        <v>1.3946103407350456</v>
      </c>
      <c r="Q126" s="91">
        <v>6.18</v>
      </c>
      <c r="R126" s="91">
        <v>95.75</v>
      </c>
      <c r="S126" s="94">
        <v>10.5</v>
      </c>
      <c r="T126" s="116">
        <v>8.7323612417685776</v>
      </c>
      <c r="U126" s="86">
        <f t="shared" si="1"/>
        <v>1.7676387582314224</v>
      </c>
      <c r="V126" s="86" t="s">
        <v>48</v>
      </c>
      <c r="W126" s="86" t="s">
        <v>59</v>
      </c>
      <c r="X126" s="86" t="s">
        <v>211</v>
      </c>
      <c r="Y126" s="86" t="s">
        <v>51</v>
      </c>
      <c r="Z126" s="86"/>
      <c r="AA126" s="86" t="s">
        <v>287</v>
      </c>
      <c r="AB126" s="91" t="s">
        <v>210</v>
      </c>
      <c r="AC126" s="86" t="s">
        <v>160</v>
      </c>
      <c r="AD126" s="86">
        <v>20</v>
      </c>
      <c r="AE126" s="86" t="s">
        <v>160</v>
      </c>
      <c r="AF126" s="94">
        <f t="shared" si="3"/>
        <v>1992.2</v>
      </c>
      <c r="AG126" s="94">
        <f t="shared" si="4"/>
        <v>2012.2</v>
      </c>
      <c r="AH126" s="86"/>
      <c r="AI126" s="86"/>
      <c r="AJ126" s="86"/>
      <c r="AK126" s="86"/>
      <c r="AL126" s="86" t="s">
        <v>44</v>
      </c>
      <c r="AM126" s="86"/>
      <c r="AN126" s="86" t="s">
        <v>44</v>
      </c>
      <c r="AO126" s="86">
        <v>2005.8</v>
      </c>
      <c r="AP126" s="86">
        <v>2008.8</v>
      </c>
      <c r="AQ126" s="86"/>
      <c r="AR126" s="86"/>
      <c r="AS126" s="86"/>
      <c r="AT126" s="86" t="s">
        <v>44</v>
      </c>
      <c r="AU126" s="86">
        <v>2007.8</v>
      </c>
      <c r="AV126" s="86">
        <v>2007.8</v>
      </c>
      <c r="AW126" s="86" t="s">
        <v>44</v>
      </c>
      <c r="AX126" s="86">
        <v>2011.6</v>
      </c>
      <c r="AY126" s="86"/>
      <c r="AZ126" s="86"/>
      <c r="BA126" s="86"/>
      <c r="BB126" s="86"/>
      <c r="BC126" s="86" t="s">
        <v>44</v>
      </c>
      <c r="BD126" s="86">
        <v>2012</v>
      </c>
      <c r="BE126" s="86"/>
      <c r="BF126" s="86" t="s">
        <v>153</v>
      </c>
      <c r="BG126" s="86">
        <v>2005.8</v>
      </c>
      <c r="BH126" s="86">
        <f t="shared" si="2"/>
        <v>2008.8</v>
      </c>
      <c r="BI126" s="86">
        <v>3</v>
      </c>
      <c r="BJ126" s="86" t="s">
        <v>212</v>
      </c>
      <c r="BK126" s="86" t="s">
        <v>149</v>
      </c>
    </row>
    <row r="127" spans="1:64" s="92" customFormat="1" x14ac:dyDescent="0.2">
      <c r="A127" s="86">
        <v>124</v>
      </c>
      <c r="B127" s="86" t="s">
        <v>63</v>
      </c>
      <c r="C127" s="91" t="s">
        <v>54</v>
      </c>
      <c r="D127" s="91" t="s">
        <v>213</v>
      </c>
      <c r="E127" s="99">
        <v>31.7</v>
      </c>
      <c r="F127" s="94">
        <v>1963.5</v>
      </c>
      <c r="G127" s="91">
        <v>2012.3</v>
      </c>
      <c r="H127" s="86" t="s">
        <v>47</v>
      </c>
      <c r="I127" s="91">
        <v>1.92</v>
      </c>
      <c r="J127" s="91">
        <v>1.79</v>
      </c>
      <c r="K127" s="115">
        <v>1.2323380037593121</v>
      </c>
      <c r="L127" s="115">
        <v>2.7000000000000003E-2</v>
      </c>
      <c r="M127" s="116">
        <v>222.98219000576802</v>
      </c>
      <c r="N127" s="117">
        <v>27</v>
      </c>
      <c r="O127" s="171">
        <v>222.98219000576802</v>
      </c>
      <c r="P127" s="172">
        <v>1.2323380037593121</v>
      </c>
      <c r="Q127" s="91">
        <v>37.33</v>
      </c>
      <c r="R127" s="91">
        <v>100</v>
      </c>
      <c r="S127" s="94">
        <v>5.6000000000000005</v>
      </c>
      <c r="T127" s="116">
        <v>4.4520225776105358</v>
      </c>
      <c r="U127" s="86">
        <f t="shared" si="1"/>
        <v>1.1479774223894648</v>
      </c>
      <c r="V127" s="86" t="s">
        <v>48</v>
      </c>
      <c r="W127" s="86" t="s">
        <v>49</v>
      </c>
      <c r="X127" s="86" t="s">
        <v>214</v>
      </c>
      <c r="Y127" s="86" t="s">
        <v>51</v>
      </c>
      <c r="Z127" s="86"/>
      <c r="AA127" s="86" t="s">
        <v>51</v>
      </c>
      <c r="AB127" s="91" t="s">
        <v>213</v>
      </c>
      <c r="AC127" s="86" t="s">
        <v>160</v>
      </c>
      <c r="AD127" s="86">
        <v>3</v>
      </c>
      <c r="AE127" s="86" t="s">
        <v>160</v>
      </c>
      <c r="AF127" s="94">
        <f t="shared" si="3"/>
        <v>2009.3</v>
      </c>
      <c r="AG127" s="94">
        <f t="shared" si="4"/>
        <v>2012.3</v>
      </c>
      <c r="AH127" s="86"/>
      <c r="AI127" s="86"/>
      <c r="AJ127" s="86"/>
      <c r="AK127" s="86"/>
      <c r="AL127" s="86" t="s">
        <v>44</v>
      </c>
      <c r="AM127" s="86"/>
      <c r="AN127" s="86" t="s">
        <v>44</v>
      </c>
      <c r="AO127" s="86">
        <v>2011.8</v>
      </c>
      <c r="AP127" s="86">
        <v>2012.3</v>
      </c>
      <c r="AQ127" s="86"/>
      <c r="AR127" s="86"/>
      <c r="AS127" s="86"/>
      <c r="AT127" s="86"/>
      <c r="AU127" s="86"/>
      <c r="AV127" s="86"/>
      <c r="AW127" s="86"/>
      <c r="AX127" s="86"/>
      <c r="AY127" s="86"/>
      <c r="AZ127" s="86"/>
      <c r="BA127" s="86"/>
      <c r="BB127" s="86"/>
      <c r="BC127" s="86"/>
      <c r="BD127" s="86"/>
      <c r="BE127" s="86"/>
      <c r="BF127" s="86" t="s">
        <v>153</v>
      </c>
      <c r="BG127" s="86">
        <v>2011.8</v>
      </c>
      <c r="BH127" s="86">
        <f t="shared" si="2"/>
        <v>2012.3</v>
      </c>
      <c r="BI127" s="86">
        <v>0.5</v>
      </c>
      <c r="BJ127" s="86"/>
      <c r="BK127" s="86" t="s">
        <v>149</v>
      </c>
    </row>
    <row r="128" spans="1:64" s="92" customFormat="1" x14ac:dyDescent="0.2">
      <c r="A128" s="86">
        <v>125</v>
      </c>
      <c r="B128" s="86" t="s">
        <v>63</v>
      </c>
      <c r="C128" s="91" t="s">
        <v>45</v>
      </c>
      <c r="D128" s="91" t="s">
        <v>213</v>
      </c>
      <c r="E128" s="99">
        <v>31.7</v>
      </c>
      <c r="F128" s="94">
        <v>1963.5</v>
      </c>
      <c r="G128" s="91">
        <v>2012.3</v>
      </c>
      <c r="H128" s="86" t="s">
        <v>47</v>
      </c>
      <c r="I128" s="91">
        <v>1.96</v>
      </c>
      <c r="J128" s="91">
        <v>2.25</v>
      </c>
      <c r="K128" s="115">
        <v>1.2535486993675908</v>
      </c>
      <c r="L128" s="115">
        <v>1.84E-2</v>
      </c>
      <c r="M128" s="116">
        <v>244.03185567170249</v>
      </c>
      <c r="N128" s="117">
        <v>18.400000000000002</v>
      </c>
      <c r="O128" s="18">
        <f>(M128-M127*(1-R128/100))*100/R128</f>
        <v>244.50536553330838</v>
      </c>
      <c r="P128" s="19">
        <f>(K128-K127*(1-R128/100))*100/R128</f>
        <v>1.254025831579638</v>
      </c>
      <c r="Q128" s="91">
        <v>6.0469999999999997</v>
      </c>
      <c r="R128" s="91">
        <v>97.8</v>
      </c>
      <c r="S128" s="94">
        <v>17.016666666666666</v>
      </c>
      <c r="T128" s="116">
        <v>14.077582318448354</v>
      </c>
      <c r="U128" s="86">
        <f t="shared" si="1"/>
        <v>2.9390843482183122</v>
      </c>
      <c r="V128" s="86" t="s">
        <v>48</v>
      </c>
      <c r="W128" s="86" t="s">
        <v>49</v>
      </c>
      <c r="X128" s="86" t="s">
        <v>214</v>
      </c>
      <c r="Y128" s="86" t="s">
        <v>51</v>
      </c>
      <c r="Z128" s="86"/>
      <c r="AA128" s="86" t="s">
        <v>51</v>
      </c>
      <c r="AB128" s="91" t="s">
        <v>213</v>
      </c>
      <c r="AC128" s="86" t="s">
        <v>160</v>
      </c>
      <c r="AD128" s="86">
        <v>3</v>
      </c>
      <c r="AE128" s="86" t="s">
        <v>160</v>
      </c>
      <c r="AF128" s="94">
        <f t="shared" si="3"/>
        <v>2009.3</v>
      </c>
      <c r="AG128" s="94">
        <f t="shared" si="4"/>
        <v>2012.3</v>
      </c>
      <c r="AH128" s="86"/>
      <c r="AI128" s="86"/>
      <c r="AJ128" s="86"/>
      <c r="AK128" s="86"/>
      <c r="AL128" s="86" t="s">
        <v>44</v>
      </c>
      <c r="AM128" s="86"/>
      <c r="AN128" s="86" t="s">
        <v>44</v>
      </c>
      <c r="AO128" s="86">
        <v>2011.8</v>
      </c>
      <c r="AP128" s="86">
        <v>2012.3</v>
      </c>
      <c r="AQ128" s="86"/>
      <c r="AR128" s="86"/>
      <c r="AS128" s="86"/>
      <c r="AT128" s="86"/>
      <c r="AU128" s="86"/>
      <c r="AV128" s="86"/>
      <c r="AW128" s="86"/>
      <c r="AX128" s="86"/>
      <c r="AY128" s="86"/>
      <c r="AZ128" s="86"/>
      <c r="BA128" s="86"/>
      <c r="BB128" s="86"/>
      <c r="BC128" s="86"/>
      <c r="BD128" s="86"/>
      <c r="BE128" s="86"/>
      <c r="BF128" s="86" t="s">
        <v>153</v>
      </c>
      <c r="BG128" s="86">
        <v>2011.8</v>
      </c>
      <c r="BH128" s="86">
        <f t="shared" si="2"/>
        <v>2012.3</v>
      </c>
      <c r="BI128" s="86">
        <v>0.5</v>
      </c>
      <c r="BJ128" s="86"/>
      <c r="BK128" s="86" t="s">
        <v>149</v>
      </c>
    </row>
    <row r="129" spans="1:63" s="92" customFormat="1" x14ac:dyDescent="0.2">
      <c r="A129" s="86">
        <v>126</v>
      </c>
      <c r="B129" s="86" t="s">
        <v>63</v>
      </c>
      <c r="C129" s="91" t="s">
        <v>54</v>
      </c>
      <c r="D129" s="91" t="s">
        <v>215</v>
      </c>
      <c r="E129" s="88">
        <v>23.661438615467823</v>
      </c>
      <c r="F129" s="94">
        <v>1967.2</v>
      </c>
      <c r="G129" s="91">
        <v>2012.8</v>
      </c>
      <c r="H129" s="86" t="s">
        <v>69</v>
      </c>
      <c r="I129" s="91">
        <v>1.99</v>
      </c>
      <c r="J129" s="91">
        <v>2.29</v>
      </c>
      <c r="K129" s="115">
        <v>1.3691007278182834</v>
      </c>
      <c r="L129" s="115">
        <v>1.4800000000000001E-2</v>
      </c>
      <c r="M129" s="116">
        <v>358.70662215876916</v>
      </c>
      <c r="N129" s="117">
        <v>14.8</v>
      </c>
      <c r="O129" s="171">
        <v>358.70662215876916</v>
      </c>
      <c r="P129" s="172">
        <v>1.3691007278182834</v>
      </c>
      <c r="Q129" s="91">
        <v>81.260000000000005</v>
      </c>
      <c r="R129" s="98">
        <v>100</v>
      </c>
      <c r="S129" s="94">
        <v>20.5</v>
      </c>
      <c r="T129" s="116">
        <v>17.099684258006313</v>
      </c>
      <c r="U129" s="86">
        <f t="shared" si="1"/>
        <v>3.4003157419936869</v>
      </c>
      <c r="V129" s="86" t="s">
        <v>151</v>
      </c>
      <c r="W129" s="86" t="s">
        <v>49</v>
      </c>
      <c r="X129" s="91" t="s">
        <v>216</v>
      </c>
      <c r="Y129" s="86" t="s">
        <v>51</v>
      </c>
      <c r="Z129" s="91"/>
      <c r="AA129" s="86" t="s">
        <v>51</v>
      </c>
      <c r="AB129" s="91" t="s">
        <v>215</v>
      </c>
      <c r="AC129" s="86" t="s">
        <v>160</v>
      </c>
      <c r="AD129" s="86">
        <v>5</v>
      </c>
      <c r="AE129" s="86" t="s">
        <v>217</v>
      </c>
      <c r="AF129" s="94">
        <f t="shared" si="3"/>
        <v>2007.8</v>
      </c>
      <c r="AG129" s="94">
        <f t="shared" si="4"/>
        <v>2012.8</v>
      </c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/>
      <c r="BK129" s="86" t="s">
        <v>149</v>
      </c>
    </row>
    <row r="130" spans="1:63" s="92" customFormat="1" x14ac:dyDescent="0.2">
      <c r="A130" s="86">
        <v>127</v>
      </c>
      <c r="B130" s="86" t="s">
        <v>63</v>
      </c>
      <c r="C130" s="86" t="s">
        <v>54</v>
      </c>
      <c r="D130" s="86" t="s">
        <v>218</v>
      </c>
      <c r="E130" s="86">
        <v>26.1</v>
      </c>
      <c r="F130" s="86">
        <v>1954.5</v>
      </c>
      <c r="G130" s="86">
        <v>2013.3</v>
      </c>
      <c r="H130" s="86" t="s">
        <v>47</v>
      </c>
      <c r="I130" s="91">
        <v>1.98</v>
      </c>
      <c r="J130" s="91">
        <v>2.3199999999999998</v>
      </c>
      <c r="K130" s="96">
        <v>1.112525537538114</v>
      </c>
      <c r="L130" s="96">
        <v>1.78E-2</v>
      </c>
      <c r="M130" s="88">
        <v>104.07933065857588</v>
      </c>
      <c r="N130" s="97">
        <v>17.8</v>
      </c>
      <c r="O130" s="28">
        <v>104.07933065857588</v>
      </c>
      <c r="P130" s="173">
        <v>1.112525537538114</v>
      </c>
      <c r="Q130" s="86" t="s">
        <v>219</v>
      </c>
      <c r="R130" s="98">
        <v>100</v>
      </c>
      <c r="S130" s="86">
        <v>48.383333333333333</v>
      </c>
      <c r="T130" s="88">
        <v>35.1871898962562</v>
      </c>
      <c r="U130" s="86">
        <f t="shared" si="1"/>
        <v>13.196143437077133</v>
      </c>
      <c r="V130" s="86" t="s">
        <v>48</v>
      </c>
      <c r="W130" s="86" t="s">
        <v>49</v>
      </c>
      <c r="X130" s="91" t="s">
        <v>220</v>
      </c>
      <c r="Y130" s="86" t="s">
        <v>51</v>
      </c>
      <c r="Z130" s="91"/>
      <c r="AA130" s="86" t="s">
        <v>51</v>
      </c>
      <c r="AB130" s="86" t="s">
        <v>218</v>
      </c>
      <c r="AC130" s="86" t="s">
        <v>160</v>
      </c>
      <c r="AD130" s="86">
        <v>30</v>
      </c>
      <c r="AE130" s="86" t="s">
        <v>160</v>
      </c>
      <c r="AF130" s="94">
        <f t="shared" si="3"/>
        <v>1983.3</v>
      </c>
      <c r="AG130" s="94">
        <f t="shared" si="4"/>
        <v>2013.3</v>
      </c>
      <c r="AH130" s="86"/>
      <c r="AI130" s="86"/>
      <c r="AJ130" s="86"/>
      <c r="AK130" s="86"/>
      <c r="AL130" s="86" t="s">
        <v>44</v>
      </c>
      <c r="AM130" s="86"/>
      <c r="AN130" s="86" t="s">
        <v>44</v>
      </c>
      <c r="AO130" s="86">
        <v>2006.2</v>
      </c>
      <c r="AP130" s="86">
        <v>2009.2</v>
      </c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 t="s">
        <v>153</v>
      </c>
      <c r="BG130" s="86">
        <v>2006.2</v>
      </c>
      <c r="BH130" s="86">
        <f>BG130+BI130</f>
        <v>2009.2</v>
      </c>
      <c r="BI130" s="86">
        <v>3</v>
      </c>
      <c r="BJ130" s="86" t="s">
        <v>221</v>
      </c>
      <c r="BK130" s="86" t="s">
        <v>149</v>
      </c>
    </row>
    <row r="131" spans="1:63" s="92" customFormat="1" x14ac:dyDescent="0.2">
      <c r="A131" s="86">
        <v>128</v>
      </c>
      <c r="B131" s="86" t="s">
        <v>63</v>
      </c>
      <c r="C131" s="86" t="s">
        <v>45</v>
      </c>
      <c r="D131" s="86" t="s">
        <v>222</v>
      </c>
      <c r="E131" s="86">
        <v>26.1</v>
      </c>
      <c r="F131" s="86">
        <v>1954.5</v>
      </c>
      <c r="G131" s="86">
        <v>2013.3</v>
      </c>
      <c r="H131" s="86" t="s">
        <v>47</v>
      </c>
      <c r="I131" s="120">
        <v>1.95</v>
      </c>
      <c r="J131" s="121">
        <v>2.09</v>
      </c>
      <c r="K131" s="96">
        <v>1.0300005727123982</v>
      </c>
      <c r="L131" s="96">
        <v>1.7399999999999999E-2</v>
      </c>
      <c r="M131" s="88">
        <v>22.1808889122197</v>
      </c>
      <c r="N131" s="97">
        <v>17.399999999999999</v>
      </c>
      <c r="O131" s="18">
        <f>(M131-M130*(1-R131/100))*100/R131</f>
        <v>18.768453839454853</v>
      </c>
      <c r="P131" s="19">
        <f>(K131-K130*(1-R131/100))*100/R131</f>
        <v>1.0265620325113267</v>
      </c>
      <c r="Q131" s="86" t="s">
        <v>223</v>
      </c>
      <c r="R131" s="91">
        <v>96</v>
      </c>
      <c r="S131" s="86">
        <v>26.816666666666666</v>
      </c>
      <c r="T131" s="88">
        <v>22.608184383819378</v>
      </c>
      <c r="U131" s="86">
        <f t="shared" si="1"/>
        <v>4.2084822828472888</v>
      </c>
      <c r="V131" s="86" t="s">
        <v>48</v>
      </c>
      <c r="W131" s="86" t="s">
        <v>49</v>
      </c>
      <c r="X131" s="91" t="s">
        <v>220</v>
      </c>
      <c r="Y131" s="86" t="s">
        <v>51</v>
      </c>
      <c r="Z131" s="91"/>
      <c r="AA131" s="86" t="s">
        <v>51</v>
      </c>
      <c r="AB131" s="86" t="s">
        <v>222</v>
      </c>
      <c r="AC131" s="86" t="s">
        <v>160</v>
      </c>
      <c r="AD131" s="86">
        <v>30</v>
      </c>
      <c r="AE131" s="86" t="s">
        <v>160</v>
      </c>
      <c r="AF131" s="94">
        <f t="shared" si="3"/>
        <v>1983.3</v>
      </c>
      <c r="AG131" s="94">
        <f t="shared" si="4"/>
        <v>2013.3</v>
      </c>
      <c r="AH131" s="86"/>
      <c r="AI131" s="86"/>
      <c r="AJ131" s="86"/>
      <c r="AK131" s="86"/>
      <c r="AL131" s="86" t="s">
        <v>44</v>
      </c>
      <c r="AM131" s="86"/>
      <c r="AN131" s="86" t="s">
        <v>44</v>
      </c>
      <c r="AO131" s="86">
        <v>2006.2</v>
      </c>
      <c r="AP131" s="86">
        <v>2009.2</v>
      </c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 t="s">
        <v>153</v>
      </c>
      <c r="BG131" s="86">
        <v>2006.2</v>
      </c>
      <c r="BH131" s="86">
        <f>BG131+BI131</f>
        <v>2009.2</v>
      </c>
      <c r="BI131" s="86">
        <v>3</v>
      </c>
      <c r="BJ131" s="86"/>
      <c r="BK131" s="86" t="s">
        <v>149</v>
      </c>
    </row>
    <row r="132" spans="1:63" x14ac:dyDescent="0.2">
      <c r="A132" s="1">
        <v>129</v>
      </c>
      <c r="B132" s="1" t="s">
        <v>63</v>
      </c>
      <c r="C132" s="1" t="s">
        <v>54</v>
      </c>
      <c r="D132" s="1" t="s">
        <v>224</v>
      </c>
      <c r="E132" s="11">
        <v>28.9</v>
      </c>
      <c r="F132" s="11">
        <v>1951.8</v>
      </c>
      <c r="G132" s="11">
        <v>2013.3</v>
      </c>
      <c r="H132" s="11" t="s">
        <v>47</v>
      </c>
      <c r="I132" s="12">
        <v>1.97</v>
      </c>
      <c r="J132" s="12">
        <v>2.2999999999999998</v>
      </c>
      <c r="K132" s="27">
        <v>1.0897120313878057</v>
      </c>
      <c r="L132" s="27">
        <v>2.6000000000000002E-2</v>
      </c>
      <c r="M132" s="28">
        <v>81.439022862904494</v>
      </c>
      <c r="N132" s="29">
        <v>26</v>
      </c>
      <c r="O132" s="38">
        <v>81.439022862904494</v>
      </c>
      <c r="P132" s="41">
        <v>1.0897120313878057</v>
      </c>
      <c r="Q132" s="1" t="s">
        <v>225</v>
      </c>
      <c r="R132" s="8">
        <v>100</v>
      </c>
      <c r="S132" s="1">
        <v>79.566666666666663</v>
      </c>
      <c r="T132" s="17">
        <v>67.246001881467535</v>
      </c>
      <c r="U132" s="1">
        <f t="shared" ref="U132:U195" si="5">S132-T132</f>
        <v>12.320664785199128</v>
      </c>
      <c r="V132" s="1" t="s">
        <v>48</v>
      </c>
      <c r="W132" s="1" t="s">
        <v>49</v>
      </c>
      <c r="X132" s="12" t="s">
        <v>226</v>
      </c>
      <c r="Y132" s="63" t="s">
        <v>51</v>
      </c>
      <c r="Z132" s="12"/>
      <c r="AA132" s="63" t="s">
        <v>51</v>
      </c>
      <c r="AB132" s="1" t="s">
        <v>224</v>
      </c>
      <c r="AC132" s="63" t="s">
        <v>160</v>
      </c>
      <c r="AD132" s="63" t="s">
        <v>59</v>
      </c>
      <c r="AE132" s="63" t="s">
        <v>160</v>
      </c>
      <c r="AF132" s="63" t="s">
        <v>187</v>
      </c>
      <c r="AG132" s="63" t="s">
        <v>187</v>
      </c>
      <c r="AL132" s="13" t="s">
        <v>44</v>
      </c>
      <c r="AM132" s="13"/>
      <c r="AN132" s="13" t="s">
        <v>44</v>
      </c>
      <c r="AO132" s="67">
        <v>2011.5</v>
      </c>
      <c r="AQ132" s="13" t="s">
        <v>44</v>
      </c>
      <c r="AR132" s="70">
        <v>2006.3</v>
      </c>
      <c r="AT132" s="13"/>
      <c r="AW132" s="13"/>
      <c r="BF132" s="13"/>
      <c r="BG132" s="49">
        <v>2006.3</v>
      </c>
      <c r="BH132" s="49">
        <f>BG132+BI132</f>
        <v>2006.8</v>
      </c>
      <c r="BI132" s="49">
        <v>0.5</v>
      </c>
      <c r="BK132" s="1" t="s">
        <v>149</v>
      </c>
    </row>
    <row r="133" spans="1:63" x14ac:dyDescent="0.2">
      <c r="A133" s="1">
        <v>130</v>
      </c>
      <c r="B133" s="1" t="s">
        <v>63</v>
      </c>
      <c r="C133" s="1" t="s">
        <v>45</v>
      </c>
      <c r="D133" s="1" t="s">
        <v>224</v>
      </c>
      <c r="E133" s="11">
        <v>28.9</v>
      </c>
      <c r="F133" s="11">
        <v>1951.8</v>
      </c>
      <c r="G133" s="11">
        <v>2013.3</v>
      </c>
      <c r="H133" s="11" t="s">
        <v>47</v>
      </c>
      <c r="I133" s="12">
        <v>1.93</v>
      </c>
      <c r="J133" s="40">
        <v>2.0299999999999998</v>
      </c>
      <c r="K133" s="27">
        <v>1.0262971144768789</v>
      </c>
      <c r="L133" s="27">
        <v>2.3599999999999999E-2</v>
      </c>
      <c r="M133" s="28">
        <v>18.505547042007684</v>
      </c>
      <c r="N133" s="29">
        <v>23.599999999999998</v>
      </c>
      <c r="O133" s="18">
        <f>(M133-M132*(1-96/100))*100/96</f>
        <v>15.883318882803648</v>
      </c>
      <c r="P133" s="19">
        <f>(K133-K132*(1-96/100))*100/96</f>
        <v>1.0236548262722569</v>
      </c>
      <c r="Q133" s="1" t="s">
        <v>227</v>
      </c>
      <c r="R133" s="2" t="s">
        <v>59</v>
      </c>
      <c r="S133" s="1">
        <v>21.650000000000002</v>
      </c>
      <c r="T133" s="17">
        <v>17.716368767638759</v>
      </c>
      <c r="U133" s="1">
        <f t="shared" si="5"/>
        <v>3.9336312323612432</v>
      </c>
      <c r="V133" s="1" t="s">
        <v>48</v>
      </c>
      <c r="W133" s="1" t="s">
        <v>49</v>
      </c>
      <c r="X133" s="12" t="s">
        <v>226</v>
      </c>
      <c r="Y133" s="63" t="s">
        <v>51</v>
      </c>
      <c r="Z133" s="12"/>
      <c r="AA133" s="63" t="s">
        <v>51</v>
      </c>
      <c r="AB133" s="1" t="s">
        <v>224</v>
      </c>
      <c r="AC133" s="63" t="s">
        <v>160</v>
      </c>
      <c r="AD133" s="63" t="s">
        <v>59</v>
      </c>
      <c r="AE133" s="63" t="s">
        <v>160</v>
      </c>
      <c r="AF133" s="63" t="s">
        <v>187</v>
      </c>
      <c r="AG133" s="63" t="s">
        <v>187</v>
      </c>
      <c r="AL133" s="13" t="s">
        <v>44</v>
      </c>
      <c r="AM133" s="13"/>
      <c r="AN133" s="13" t="s">
        <v>44</v>
      </c>
      <c r="AO133" s="67">
        <v>2011.5</v>
      </c>
      <c r="AQ133" s="13" t="s">
        <v>44</v>
      </c>
      <c r="AR133" s="70">
        <v>2006.3</v>
      </c>
      <c r="AT133" s="13"/>
      <c r="AW133" s="13"/>
      <c r="BF133" s="13"/>
      <c r="BG133" s="49">
        <v>2006.3</v>
      </c>
      <c r="BH133" s="49">
        <f>BG133+BI133</f>
        <v>2006.8</v>
      </c>
      <c r="BI133" s="49">
        <v>0.5</v>
      </c>
      <c r="BK133" s="1" t="s">
        <v>149</v>
      </c>
    </row>
    <row r="134" spans="1:63" s="92" customFormat="1" x14ac:dyDescent="0.2">
      <c r="A134" s="86">
        <v>131</v>
      </c>
      <c r="B134" s="86" t="s">
        <v>63</v>
      </c>
      <c r="C134" s="86" t="s">
        <v>54</v>
      </c>
      <c r="D134" s="86" t="s">
        <v>228</v>
      </c>
      <c r="E134" s="86">
        <v>31.1</v>
      </c>
      <c r="F134" s="100">
        <v>1964.8</v>
      </c>
      <c r="G134" s="86">
        <v>2013.3</v>
      </c>
      <c r="H134" s="100" t="s">
        <v>47</v>
      </c>
      <c r="I134" s="91">
        <v>1.96</v>
      </c>
      <c r="J134" s="91">
        <v>2.34</v>
      </c>
      <c r="K134" s="96">
        <v>1.5081179167777143</v>
      </c>
      <c r="L134" s="96">
        <v>2.52E-2</v>
      </c>
      <c r="M134" s="88">
        <v>496.66840349100829</v>
      </c>
      <c r="N134" s="97">
        <v>25.2</v>
      </c>
      <c r="O134" s="38">
        <v>496.66840349100829</v>
      </c>
      <c r="P134" s="41">
        <v>1.5081179167777143</v>
      </c>
      <c r="Q134" s="86" t="s">
        <v>229</v>
      </c>
      <c r="R134" s="98">
        <v>100</v>
      </c>
      <c r="S134" s="86">
        <v>63.216666666666669</v>
      </c>
      <c r="T134" s="88">
        <v>51.966621560667569</v>
      </c>
      <c r="U134" s="86">
        <f t="shared" si="5"/>
        <v>11.250045105999099</v>
      </c>
      <c r="V134" s="86" t="s">
        <v>147</v>
      </c>
      <c r="W134" s="86" t="s">
        <v>56</v>
      </c>
      <c r="X134" s="91" t="s">
        <v>230</v>
      </c>
      <c r="Y134" s="86" t="s">
        <v>51</v>
      </c>
      <c r="Z134" s="91"/>
      <c r="AA134" s="86" t="s">
        <v>51</v>
      </c>
      <c r="AB134" s="86" t="s">
        <v>228</v>
      </c>
      <c r="AC134" s="86" t="s">
        <v>153</v>
      </c>
      <c r="AD134" s="99">
        <f>AG134-AF134</f>
        <v>19.899999999999864</v>
      </c>
      <c r="AE134" s="86" t="s">
        <v>153</v>
      </c>
      <c r="AF134" s="94">
        <v>1993.4</v>
      </c>
      <c r="AG134" s="94">
        <f>G134</f>
        <v>2013.3</v>
      </c>
      <c r="AH134" s="86"/>
      <c r="AI134" s="86"/>
      <c r="AJ134" s="86"/>
      <c r="AK134" s="86"/>
      <c r="AL134" s="86" t="s">
        <v>44</v>
      </c>
      <c r="AM134" s="86"/>
      <c r="AN134" s="86" t="s">
        <v>44</v>
      </c>
      <c r="AO134" s="86">
        <v>2012.3</v>
      </c>
      <c r="AP134" s="86">
        <v>2013.3</v>
      </c>
      <c r="AQ134" s="86"/>
      <c r="AR134" s="86"/>
      <c r="AS134" s="86"/>
      <c r="AT134" s="86"/>
      <c r="AU134" s="86"/>
      <c r="AV134" s="86"/>
      <c r="AW134" s="86" t="s">
        <v>44</v>
      </c>
      <c r="AX134" s="86">
        <v>2012.5</v>
      </c>
      <c r="AY134" s="86">
        <v>2013.3</v>
      </c>
      <c r="AZ134" s="86"/>
      <c r="BA134" s="86"/>
      <c r="BB134" s="86"/>
      <c r="BC134" s="86"/>
      <c r="BD134" s="86"/>
      <c r="BE134" s="86"/>
      <c r="BF134" s="86" t="s">
        <v>153</v>
      </c>
      <c r="BG134" s="86">
        <v>2012.3</v>
      </c>
      <c r="BH134" s="86">
        <f>G134</f>
        <v>2013.3</v>
      </c>
      <c r="BI134" s="86">
        <f>BH134-BG134</f>
        <v>1</v>
      </c>
      <c r="BJ134" s="86"/>
      <c r="BK134" s="86" t="s">
        <v>149</v>
      </c>
    </row>
    <row r="135" spans="1:63" s="92" customFormat="1" x14ac:dyDescent="0.2">
      <c r="A135" s="86">
        <v>132</v>
      </c>
      <c r="B135" s="86" t="s">
        <v>63</v>
      </c>
      <c r="C135" s="86" t="s">
        <v>45</v>
      </c>
      <c r="D135" s="86" t="s">
        <v>228</v>
      </c>
      <c r="E135" s="86">
        <v>31.1</v>
      </c>
      <c r="F135" s="100">
        <v>1964.8</v>
      </c>
      <c r="G135" s="86">
        <v>2013.3</v>
      </c>
      <c r="H135" s="100" t="s">
        <v>47</v>
      </c>
      <c r="I135" s="91">
        <v>1.94</v>
      </c>
      <c r="J135" s="121">
        <v>2.09</v>
      </c>
      <c r="K135" s="96">
        <v>1.5092665910803587</v>
      </c>
      <c r="L135" s="96">
        <v>2.8999999999999998E-2</v>
      </c>
      <c r="M135" s="88">
        <v>497.80835714817528</v>
      </c>
      <c r="N135" s="97">
        <v>29</v>
      </c>
      <c r="O135" s="18">
        <f>(M135-M134*(1-R135/100))*100/R135</f>
        <v>497.86207224196852</v>
      </c>
      <c r="P135" s="19">
        <f>(K135-K134*(1-R135/100))*100/R135</f>
        <v>1.5093207170946192</v>
      </c>
      <c r="Q135" s="86" t="s">
        <v>231</v>
      </c>
      <c r="R135" s="91">
        <v>95.5</v>
      </c>
      <c r="S135" s="86">
        <v>21.533333333333331</v>
      </c>
      <c r="T135" s="88">
        <v>18.657102539981185</v>
      </c>
      <c r="U135" s="86">
        <f t="shared" si="5"/>
        <v>2.8762307933521463</v>
      </c>
      <c r="V135" s="86" t="s">
        <v>147</v>
      </c>
      <c r="W135" s="86" t="s">
        <v>56</v>
      </c>
      <c r="X135" s="91" t="s">
        <v>230</v>
      </c>
      <c r="Y135" s="86" t="s">
        <v>51</v>
      </c>
      <c r="Z135" s="91"/>
      <c r="AA135" s="86" t="s">
        <v>51</v>
      </c>
      <c r="AB135" s="86" t="s">
        <v>228</v>
      </c>
      <c r="AC135" s="86" t="s">
        <v>153</v>
      </c>
      <c r="AD135" s="99">
        <f>AG135-AF135</f>
        <v>19.899999999999864</v>
      </c>
      <c r="AE135" s="86" t="s">
        <v>153</v>
      </c>
      <c r="AF135" s="94">
        <v>1993.4</v>
      </c>
      <c r="AG135" s="94">
        <f>G135</f>
        <v>2013.3</v>
      </c>
      <c r="AH135" s="86"/>
      <c r="AI135" s="86"/>
      <c r="AJ135" s="86"/>
      <c r="AK135" s="86"/>
      <c r="AL135" s="86" t="s">
        <v>44</v>
      </c>
      <c r="AM135" s="86"/>
      <c r="AN135" s="86" t="s">
        <v>44</v>
      </c>
      <c r="AO135" s="86">
        <v>2012.3</v>
      </c>
      <c r="AP135" s="86">
        <v>2013.3</v>
      </c>
      <c r="AQ135" s="86"/>
      <c r="AR135" s="86"/>
      <c r="AS135" s="86"/>
      <c r="AT135" s="86"/>
      <c r="AU135" s="86"/>
      <c r="AV135" s="86"/>
      <c r="AW135" s="86" t="s">
        <v>44</v>
      </c>
      <c r="AX135" s="86">
        <v>2012.5</v>
      </c>
      <c r="AY135" s="86">
        <v>2013.3</v>
      </c>
      <c r="AZ135" s="86"/>
      <c r="BA135" s="86"/>
      <c r="BB135" s="86"/>
      <c r="BC135" s="86"/>
      <c r="BD135" s="86"/>
      <c r="BE135" s="86"/>
      <c r="BF135" s="86" t="s">
        <v>153</v>
      </c>
      <c r="BG135" s="86">
        <v>2012.3</v>
      </c>
      <c r="BH135" s="86">
        <f>G135</f>
        <v>2013.3</v>
      </c>
      <c r="BI135" s="86">
        <f>BH135-BG135</f>
        <v>1</v>
      </c>
      <c r="BJ135" s="86"/>
      <c r="BK135" s="86" t="s">
        <v>149</v>
      </c>
    </row>
    <row r="136" spans="1:63" s="92" customFormat="1" x14ac:dyDescent="0.2">
      <c r="A136" s="86">
        <v>133</v>
      </c>
      <c r="B136" s="86" t="s">
        <v>63</v>
      </c>
      <c r="C136" s="86" t="s">
        <v>54</v>
      </c>
      <c r="D136" s="86" t="s">
        <v>232</v>
      </c>
      <c r="E136" s="86">
        <v>24.4</v>
      </c>
      <c r="F136" s="86">
        <v>1951.3</v>
      </c>
      <c r="G136" s="86">
        <v>2013.3</v>
      </c>
      <c r="H136" s="86" t="s">
        <v>47</v>
      </c>
      <c r="I136" s="91">
        <v>1.91</v>
      </c>
      <c r="J136" s="91">
        <v>2.2799999999999998</v>
      </c>
      <c r="K136" s="96">
        <v>1.1101487614652734</v>
      </c>
      <c r="L136" s="96">
        <v>1.84E-2</v>
      </c>
      <c r="M136" s="88">
        <v>101.72059888381236</v>
      </c>
      <c r="N136" s="97">
        <v>18.400000000000002</v>
      </c>
      <c r="O136" s="38">
        <v>101.72059888381236</v>
      </c>
      <c r="P136" s="174">
        <v>1.1101487614652734</v>
      </c>
      <c r="Q136" s="86" t="s">
        <v>233</v>
      </c>
      <c r="R136" s="98">
        <v>100</v>
      </c>
      <c r="S136" s="86">
        <v>110.28333333333335</v>
      </c>
      <c r="T136" s="88">
        <v>79.240357478833488</v>
      </c>
      <c r="U136" s="86">
        <f t="shared" si="5"/>
        <v>31.042975854499858</v>
      </c>
      <c r="V136" s="86" t="s">
        <v>48</v>
      </c>
      <c r="W136" s="86" t="s">
        <v>49</v>
      </c>
      <c r="X136" s="91" t="s">
        <v>234</v>
      </c>
      <c r="Y136" s="86" t="s">
        <v>58</v>
      </c>
      <c r="Z136" s="91"/>
      <c r="AA136" s="91"/>
      <c r="AB136" s="86" t="s">
        <v>232</v>
      </c>
      <c r="AC136" s="86" t="s">
        <v>160</v>
      </c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86"/>
      <c r="AW136" s="86"/>
      <c r="AX136" s="86"/>
      <c r="AY136" s="86"/>
      <c r="AZ136" s="86"/>
      <c r="BA136" s="86"/>
      <c r="BB136" s="86"/>
      <c r="BC136" s="86"/>
      <c r="BD136" s="86"/>
      <c r="BE136" s="86"/>
      <c r="BF136" s="86"/>
      <c r="BG136" s="86"/>
      <c r="BH136" s="86"/>
      <c r="BI136" s="86"/>
      <c r="BJ136" s="86" t="s">
        <v>235</v>
      </c>
      <c r="BK136" s="86" t="s">
        <v>149</v>
      </c>
    </row>
    <row r="137" spans="1:63" s="92" customFormat="1" x14ac:dyDescent="0.2">
      <c r="A137" s="86">
        <v>134</v>
      </c>
      <c r="B137" s="86" t="s">
        <v>63</v>
      </c>
      <c r="C137" s="86" t="s">
        <v>45</v>
      </c>
      <c r="D137" s="86" t="s">
        <v>232</v>
      </c>
      <c r="E137" s="86">
        <v>24.4</v>
      </c>
      <c r="F137" s="86">
        <v>1951.3</v>
      </c>
      <c r="G137" s="86">
        <v>2013.3</v>
      </c>
      <c r="H137" s="86" t="s">
        <v>47</v>
      </c>
      <c r="I137" s="91">
        <v>1.95</v>
      </c>
      <c r="J137" s="91">
        <v>2.1800000000000002</v>
      </c>
      <c r="K137" s="96">
        <v>1.0056196021552462</v>
      </c>
      <c r="L137" s="96">
        <v>2.12E-2</v>
      </c>
      <c r="M137" s="88">
        <v>-2.0149832230971221</v>
      </c>
      <c r="N137" s="97">
        <v>21.200000000000003</v>
      </c>
      <c r="O137" s="18">
        <f>(M137-M136*(1-R137/100))*100/R137</f>
        <v>-5.7774136622078309</v>
      </c>
      <c r="P137" s="19">
        <f>(K137-K136*(1-R137/100))*100/R137</f>
        <v>1.0018283891232762</v>
      </c>
      <c r="Q137" s="86" t="s">
        <v>236</v>
      </c>
      <c r="R137" s="94">
        <v>96.5</v>
      </c>
      <c r="S137" s="86">
        <v>32.43333333333333</v>
      </c>
      <c r="T137" s="88">
        <v>26.512229539040451</v>
      </c>
      <c r="U137" s="86">
        <f t="shared" si="5"/>
        <v>5.921103794292879</v>
      </c>
      <c r="V137" s="86" t="s">
        <v>48</v>
      </c>
      <c r="W137" s="86" t="s">
        <v>49</v>
      </c>
      <c r="X137" s="91" t="s">
        <v>234</v>
      </c>
      <c r="Y137" s="86" t="s">
        <v>58</v>
      </c>
      <c r="Z137" s="91"/>
      <c r="AA137" s="91"/>
      <c r="AB137" s="86" t="s">
        <v>232</v>
      </c>
      <c r="AC137" s="86" t="s">
        <v>160</v>
      </c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86"/>
      <c r="AW137" s="86"/>
      <c r="AX137" s="86"/>
      <c r="AY137" s="86"/>
      <c r="AZ137" s="86"/>
      <c r="BA137" s="86"/>
      <c r="BB137" s="86"/>
      <c r="BC137" s="86"/>
      <c r="BD137" s="86"/>
      <c r="BE137" s="86"/>
      <c r="BF137" s="86"/>
      <c r="BG137" s="86"/>
      <c r="BH137" s="86"/>
      <c r="BI137" s="86"/>
      <c r="BJ137" s="86" t="s">
        <v>235</v>
      </c>
      <c r="BK137" s="86" t="s">
        <v>149</v>
      </c>
    </row>
    <row r="138" spans="1:63" s="92" customFormat="1" x14ac:dyDescent="0.2">
      <c r="A138" s="86">
        <v>135</v>
      </c>
      <c r="B138" s="86" t="s">
        <v>63</v>
      </c>
      <c r="C138" s="86" t="s">
        <v>54</v>
      </c>
      <c r="D138" s="86" t="s">
        <v>237</v>
      </c>
      <c r="E138" s="99">
        <v>27</v>
      </c>
      <c r="F138" s="86">
        <v>1952.6</v>
      </c>
      <c r="G138" s="86">
        <v>2013.3</v>
      </c>
      <c r="H138" s="86" t="s">
        <v>47</v>
      </c>
      <c r="I138" s="91">
        <v>1.97</v>
      </c>
      <c r="J138" s="91">
        <v>2.2999999999999998</v>
      </c>
      <c r="K138" s="96">
        <v>1.1141950114418711</v>
      </c>
      <c r="L138" s="96">
        <v>2.4199999999999999E-2</v>
      </c>
      <c r="M138" s="88">
        <v>105.73613004701143</v>
      </c>
      <c r="N138" s="97">
        <v>24.2</v>
      </c>
      <c r="O138" s="38">
        <v>105.73613004701143</v>
      </c>
      <c r="P138" s="175">
        <v>1.1141950114418711</v>
      </c>
      <c r="Q138" s="86" t="s">
        <v>59</v>
      </c>
      <c r="R138" s="98">
        <v>100</v>
      </c>
      <c r="S138" s="86">
        <v>30.483333333333334</v>
      </c>
      <c r="T138" s="88">
        <v>23.549842129003157</v>
      </c>
      <c r="U138" s="86">
        <f t="shared" si="5"/>
        <v>6.9334912043301777</v>
      </c>
      <c r="V138" s="86" t="s">
        <v>48</v>
      </c>
      <c r="W138" s="86" t="s">
        <v>49</v>
      </c>
      <c r="X138" s="91" t="s">
        <v>238</v>
      </c>
      <c r="Y138" s="86" t="s">
        <v>51</v>
      </c>
      <c r="Z138" s="91"/>
      <c r="AA138" s="86" t="s">
        <v>51</v>
      </c>
      <c r="AB138" s="86" t="s">
        <v>237</v>
      </c>
      <c r="AC138" s="86" t="s">
        <v>160</v>
      </c>
      <c r="AD138" s="86">
        <v>10</v>
      </c>
      <c r="AE138" s="86" t="s">
        <v>160</v>
      </c>
      <c r="AF138" s="94">
        <f>G138-AD138</f>
        <v>2003.3</v>
      </c>
      <c r="AG138" s="94">
        <f>G138</f>
        <v>2013.3</v>
      </c>
      <c r="AH138" s="86"/>
      <c r="AI138" s="86"/>
      <c r="AJ138" s="86"/>
      <c r="AK138" s="86"/>
      <c r="AL138" s="86" t="s">
        <v>44</v>
      </c>
      <c r="AM138" s="86"/>
      <c r="AN138" s="86" t="s">
        <v>44</v>
      </c>
      <c r="AO138" s="86">
        <v>2008.4</v>
      </c>
      <c r="AP138" s="86">
        <v>2013.3</v>
      </c>
      <c r="AQ138" s="86"/>
      <c r="AR138" s="86"/>
      <c r="AS138" s="86"/>
      <c r="AT138" s="86"/>
      <c r="AU138" s="86"/>
      <c r="AV138" s="86"/>
      <c r="AW138" s="86"/>
      <c r="AX138" s="86"/>
      <c r="AY138" s="86"/>
      <c r="AZ138" s="86"/>
      <c r="BA138" s="86"/>
      <c r="BB138" s="86"/>
      <c r="BC138" s="86"/>
      <c r="BD138" s="86"/>
      <c r="BE138" s="86"/>
      <c r="BF138" s="86" t="s">
        <v>153</v>
      </c>
      <c r="BG138" s="86">
        <v>2008.4</v>
      </c>
      <c r="BH138" s="86">
        <f>G138</f>
        <v>2013.3</v>
      </c>
      <c r="BI138" s="86">
        <f>BH138-BG138</f>
        <v>4.8999999999998636</v>
      </c>
      <c r="BJ138" s="86"/>
      <c r="BK138" s="86" t="s">
        <v>149</v>
      </c>
    </row>
    <row r="139" spans="1:63" s="92" customFormat="1" x14ac:dyDescent="0.2">
      <c r="A139" s="86">
        <v>136</v>
      </c>
      <c r="B139" s="86" t="s">
        <v>63</v>
      </c>
      <c r="C139" s="86" t="s">
        <v>54</v>
      </c>
      <c r="D139" s="86" t="s">
        <v>239</v>
      </c>
      <c r="E139" s="86">
        <v>22.4</v>
      </c>
      <c r="F139" s="86">
        <v>1983.4</v>
      </c>
      <c r="G139" s="86">
        <v>2013.3</v>
      </c>
      <c r="H139" s="86" t="s">
        <v>47</v>
      </c>
      <c r="I139" s="91">
        <v>1.98</v>
      </c>
      <c r="J139" s="91">
        <v>2.31</v>
      </c>
      <c r="K139" s="96">
        <v>1.1799424963240177</v>
      </c>
      <c r="L139" s="96">
        <v>2.2400000000000003E-2</v>
      </c>
      <c r="M139" s="88">
        <v>170.98446516550149</v>
      </c>
      <c r="N139" s="97">
        <v>22.400000000000002</v>
      </c>
      <c r="O139" s="38">
        <v>170.98446516550149</v>
      </c>
      <c r="P139" s="175">
        <v>1.1799424963240177</v>
      </c>
      <c r="Q139" s="86" t="s">
        <v>59</v>
      </c>
      <c r="R139" s="98">
        <v>100</v>
      </c>
      <c r="S139" s="86">
        <v>49.25</v>
      </c>
      <c r="T139" s="88">
        <v>35.728461885430761</v>
      </c>
      <c r="U139" s="86">
        <f t="shared" si="5"/>
        <v>13.521538114569239</v>
      </c>
      <c r="V139" s="86" t="s">
        <v>147</v>
      </c>
      <c r="W139" s="86" t="s">
        <v>56</v>
      </c>
      <c r="X139" s="91" t="s">
        <v>181</v>
      </c>
      <c r="Y139" s="86" t="s">
        <v>58</v>
      </c>
      <c r="Z139" s="91"/>
      <c r="AA139" s="91"/>
      <c r="AB139" s="86" t="s">
        <v>239</v>
      </c>
      <c r="AC139" s="86" t="s">
        <v>160</v>
      </c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86"/>
      <c r="AW139" s="86"/>
      <c r="AX139" s="86"/>
      <c r="AY139" s="86"/>
      <c r="AZ139" s="86"/>
      <c r="BA139" s="86"/>
      <c r="BB139" s="86"/>
      <c r="BC139" s="86"/>
      <c r="BD139" s="86"/>
      <c r="BE139" s="86"/>
      <c r="BF139" s="86"/>
      <c r="BG139" s="86"/>
      <c r="BH139" s="86"/>
      <c r="BI139" s="86"/>
      <c r="BJ139" s="86"/>
      <c r="BK139" s="86" t="s">
        <v>149</v>
      </c>
    </row>
    <row r="140" spans="1:63" s="92" customFormat="1" x14ac:dyDescent="0.2">
      <c r="A140" s="86">
        <v>137</v>
      </c>
      <c r="B140" s="86" t="s">
        <v>63</v>
      </c>
      <c r="C140" s="86" t="s">
        <v>45</v>
      </c>
      <c r="D140" s="122" t="s">
        <v>239</v>
      </c>
      <c r="E140" s="86">
        <v>22.4</v>
      </c>
      <c r="F140" s="86">
        <v>1983.4</v>
      </c>
      <c r="G140" s="86">
        <v>2013.3</v>
      </c>
      <c r="H140" s="86" t="s">
        <v>47</v>
      </c>
      <c r="I140" s="91">
        <v>1.95</v>
      </c>
      <c r="J140" s="91">
        <v>2.27</v>
      </c>
      <c r="K140" s="96">
        <v>1.2395233061706141</v>
      </c>
      <c r="L140" s="96">
        <v>3.7200000000000004E-2</v>
      </c>
      <c r="M140" s="88">
        <v>230.11294216306678</v>
      </c>
      <c r="N140" s="97">
        <v>37.200000000000003</v>
      </c>
      <c r="O140" s="18">
        <f>(M140-M139*(1-96/100))*100/96</f>
        <v>232.57662870463199</v>
      </c>
      <c r="P140" s="19">
        <f>(K140-K139*(1-96/100))*100/96</f>
        <v>1.2420058399142222</v>
      </c>
      <c r="Q140" s="86" t="s">
        <v>59</v>
      </c>
      <c r="R140" s="86" t="s">
        <v>59</v>
      </c>
      <c r="S140" s="86">
        <v>23.116666666666664</v>
      </c>
      <c r="T140" s="88">
        <v>17.85747883349012</v>
      </c>
      <c r="U140" s="86">
        <f t="shared" si="5"/>
        <v>5.2591878331765436</v>
      </c>
      <c r="V140" s="86" t="s">
        <v>147</v>
      </c>
      <c r="W140" s="86" t="s">
        <v>56</v>
      </c>
      <c r="X140" s="91" t="s">
        <v>181</v>
      </c>
      <c r="Y140" s="86" t="s">
        <v>58</v>
      </c>
      <c r="Z140" s="91"/>
      <c r="AA140" s="91"/>
      <c r="AB140" s="122" t="s">
        <v>239</v>
      </c>
      <c r="AC140" s="86" t="s">
        <v>160</v>
      </c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86"/>
      <c r="AW140" s="86"/>
      <c r="AX140" s="86"/>
      <c r="AY140" s="86"/>
      <c r="AZ140" s="86"/>
      <c r="BA140" s="86"/>
      <c r="BB140" s="86"/>
      <c r="BC140" s="86"/>
      <c r="BD140" s="86"/>
      <c r="BE140" s="86"/>
      <c r="BF140" s="86"/>
      <c r="BG140" s="86"/>
      <c r="BH140" s="86"/>
      <c r="BI140" s="86"/>
      <c r="BJ140" s="86"/>
      <c r="BK140" s="86" t="s">
        <v>149</v>
      </c>
    </row>
    <row r="141" spans="1:63" s="92" customFormat="1" x14ac:dyDescent="0.2">
      <c r="A141" s="86">
        <v>138</v>
      </c>
      <c r="B141" s="86" t="s">
        <v>63</v>
      </c>
      <c r="C141" s="86" t="s">
        <v>45</v>
      </c>
      <c r="D141" s="86" t="s">
        <v>240</v>
      </c>
      <c r="E141" s="86">
        <v>13.6</v>
      </c>
      <c r="F141" s="86">
        <v>1949.6</v>
      </c>
      <c r="G141" s="86">
        <v>2013.3</v>
      </c>
      <c r="H141" s="86" t="s">
        <v>47</v>
      </c>
      <c r="I141" s="91">
        <v>1.95</v>
      </c>
      <c r="J141" s="121">
        <v>2.06</v>
      </c>
      <c r="K141" s="96">
        <v>1.0283204965880888</v>
      </c>
      <c r="L141" s="96">
        <v>1.8200000000000001E-2</v>
      </c>
      <c r="M141" s="88">
        <v>20.513567794461231</v>
      </c>
      <c r="N141" s="97">
        <v>18.2</v>
      </c>
      <c r="O141" s="28">
        <v>20.513567794461231</v>
      </c>
      <c r="P141" s="66">
        <f>(K141-1.081879358*(1-R141/100))*100/R141</f>
        <v>1.0268907939220624</v>
      </c>
      <c r="Q141" s="86" t="s">
        <v>59</v>
      </c>
      <c r="R141" s="90">
        <v>97.4</v>
      </c>
      <c r="S141" s="86">
        <v>33.550000000000004</v>
      </c>
      <c r="T141" s="88">
        <v>30.322201317027282</v>
      </c>
      <c r="U141" s="86">
        <f t="shared" si="5"/>
        <v>3.2277986829727219</v>
      </c>
      <c r="V141" s="86" t="s">
        <v>48</v>
      </c>
      <c r="W141" s="86" t="s">
        <v>44</v>
      </c>
      <c r="X141" s="91" t="s">
        <v>174</v>
      </c>
      <c r="Y141" s="86" t="s">
        <v>51</v>
      </c>
      <c r="Z141" s="91"/>
      <c r="AA141" s="86" t="s">
        <v>51</v>
      </c>
      <c r="AB141" s="86" t="s">
        <v>240</v>
      </c>
      <c r="AC141" s="86" t="s">
        <v>160</v>
      </c>
      <c r="AD141" s="99">
        <f>AG141-AF141</f>
        <v>4.5</v>
      </c>
      <c r="AE141" s="86" t="s">
        <v>153</v>
      </c>
      <c r="AF141" s="94">
        <v>2008.8</v>
      </c>
      <c r="AG141" s="94">
        <f>G141</f>
        <v>2013.3</v>
      </c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86"/>
      <c r="AW141" s="86"/>
      <c r="AX141" s="86"/>
      <c r="AY141" s="86"/>
      <c r="AZ141" s="86"/>
      <c r="BA141" s="86"/>
      <c r="BB141" s="86"/>
      <c r="BC141" s="86"/>
      <c r="BD141" s="86"/>
      <c r="BE141" s="86"/>
      <c r="BF141" s="86"/>
      <c r="BG141" s="86"/>
      <c r="BH141" s="86"/>
      <c r="BI141" s="86"/>
      <c r="BJ141" s="86"/>
      <c r="BK141" s="86" t="s">
        <v>149</v>
      </c>
    </row>
    <row r="142" spans="1:63" s="92" customFormat="1" x14ac:dyDescent="0.2">
      <c r="A142" s="86">
        <v>139</v>
      </c>
      <c r="B142" s="93" t="s">
        <v>63</v>
      </c>
      <c r="C142" s="91" t="s">
        <v>54</v>
      </c>
      <c r="D142" s="91" t="s">
        <v>241</v>
      </c>
      <c r="E142" s="86">
        <v>31.6</v>
      </c>
      <c r="F142" s="94">
        <v>1958.8</v>
      </c>
      <c r="G142" s="91">
        <v>2013.7</v>
      </c>
      <c r="H142" s="95" t="s">
        <v>47</v>
      </c>
      <c r="I142" s="91">
        <v>1.98</v>
      </c>
      <c r="J142" s="91">
        <v>2.31</v>
      </c>
      <c r="K142" s="96">
        <v>1.1898533724219225</v>
      </c>
      <c r="L142" s="96">
        <v>1.7399999999999999E-2</v>
      </c>
      <c r="M142" s="88">
        <v>180.82009866711891</v>
      </c>
      <c r="N142" s="97">
        <v>17.399999999999999</v>
      </c>
      <c r="O142" s="38">
        <v>180.82009866711891</v>
      </c>
      <c r="P142" s="169">
        <v>1.1898533724219225</v>
      </c>
      <c r="Q142" s="91">
        <v>51.03</v>
      </c>
      <c r="R142" s="98">
        <v>100</v>
      </c>
      <c r="S142" s="94">
        <v>26.683333333333334</v>
      </c>
      <c r="T142" s="88">
        <v>22.106450157870999</v>
      </c>
      <c r="U142" s="86">
        <f t="shared" si="5"/>
        <v>4.5768831754623349</v>
      </c>
      <c r="V142" s="86" t="s">
        <v>48</v>
      </c>
      <c r="W142" s="86" t="s">
        <v>56</v>
      </c>
      <c r="X142" s="91" t="s">
        <v>195</v>
      </c>
      <c r="Y142" s="86" t="s">
        <v>58</v>
      </c>
      <c r="Z142" s="91"/>
      <c r="AA142" s="91"/>
      <c r="AB142" s="91" t="s">
        <v>241</v>
      </c>
      <c r="AC142" s="86" t="s">
        <v>160</v>
      </c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86"/>
      <c r="AW142" s="86"/>
      <c r="AX142" s="86"/>
      <c r="AY142" s="86"/>
      <c r="AZ142" s="86"/>
      <c r="BA142" s="86"/>
      <c r="BB142" s="86"/>
      <c r="BC142" s="86"/>
      <c r="BD142" s="86"/>
      <c r="BE142" s="86"/>
      <c r="BF142" s="86"/>
      <c r="BG142" s="86"/>
      <c r="BH142" s="86"/>
      <c r="BI142" s="86"/>
      <c r="BJ142" s="86"/>
      <c r="BK142" s="86" t="s">
        <v>149</v>
      </c>
    </row>
    <row r="143" spans="1:63" s="92" customFormat="1" x14ac:dyDescent="0.2">
      <c r="A143" s="86">
        <v>140</v>
      </c>
      <c r="B143" s="93" t="s">
        <v>63</v>
      </c>
      <c r="C143" s="91" t="s">
        <v>45</v>
      </c>
      <c r="D143" s="104" t="s">
        <v>241</v>
      </c>
      <c r="E143" s="86">
        <v>31.6</v>
      </c>
      <c r="F143" s="94">
        <v>1958.8</v>
      </c>
      <c r="G143" s="91">
        <v>2013.7</v>
      </c>
      <c r="H143" s="95" t="s">
        <v>47</v>
      </c>
      <c r="I143" s="91">
        <v>1.99</v>
      </c>
      <c r="J143" s="91">
        <v>2.2599999999999998</v>
      </c>
      <c r="K143" s="96">
        <v>1.078420702396051</v>
      </c>
      <c r="L143" s="96">
        <v>2.1600000000000001E-2</v>
      </c>
      <c r="M143" s="88">
        <v>70.233416757853547</v>
      </c>
      <c r="N143" s="97">
        <v>21.6</v>
      </c>
      <c r="O143" s="18">
        <f>(M143-M142*(1-R143/100))*100/R143</f>
        <v>65.481465052949773</v>
      </c>
      <c r="P143" s="19">
        <f>(K143-K142*(1-R143/100))*100/R143</f>
        <v>1.0736323982606049</v>
      </c>
      <c r="Q143" s="91">
        <v>15.03</v>
      </c>
      <c r="R143" s="91">
        <v>95.88</v>
      </c>
      <c r="S143" s="94">
        <v>14.183333333333332</v>
      </c>
      <c r="T143" s="88">
        <v>10.243572395128551</v>
      </c>
      <c r="U143" s="86">
        <f t="shared" si="5"/>
        <v>3.9397609382047811</v>
      </c>
      <c r="V143" s="86" t="s">
        <v>48</v>
      </c>
      <c r="W143" s="86" t="s">
        <v>56</v>
      </c>
      <c r="X143" s="91" t="s">
        <v>195</v>
      </c>
      <c r="Y143" s="86" t="s">
        <v>58</v>
      </c>
      <c r="Z143" s="91"/>
      <c r="AA143" s="91"/>
      <c r="AB143" s="104" t="s">
        <v>241</v>
      </c>
      <c r="AC143" s="86" t="s">
        <v>160</v>
      </c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86"/>
      <c r="AW143" s="86"/>
      <c r="AX143" s="86"/>
      <c r="AY143" s="86"/>
      <c r="AZ143" s="86"/>
      <c r="BA143" s="86"/>
      <c r="BB143" s="86"/>
      <c r="BC143" s="86"/>
      <c r="BD143" s="86"/>
      <c r="BE143" s="86"/>
      <c r="BF143" s="86"/>
      <c r="BG143" s="86"/>
      <c r="BH143" s="86"/>
      <c r="BI143" s="86"/>
      <c r="BJ143" s="86"/>
      <c r="BK143" s="86" t="s">
        <v>149</v>
      </c>
    </row>
    <row r="144" spans="1:63" x14ac:dyDescent="0.2">
      <c r="A144" s="1">
        <v>141</v>
      </c>
      <c r="B144" s="12" t="s">
        <v>63</v>
      </c>
      <c r="C144" s="1" t="s">
        <v>54</v>
      </c>
      <c r="D144" s="1" t="s">
        <v>242</v>
      </c>
      <c r="E144" s="20">
        <v>26.31</v>
      </c>
      <c r="F144" s="10">
        <v>1935.8</v>
      </c>
      <c r="G144" s="10">
        <v>1996</v>
      </c>
      <c r="H144" s="33" t="s">
        <v>47</v>
      </c>
      <c r="I144" s="1" t="s">
        <v>59</v>
      </c>
      <c r="J144" s="1" t="s">
        <v>59</v>
      </c>
      <c r="K144" s="21">
        <v>1.0979000000000001</v>
      </c>
      <c r="L144" s="21">
        <v>1.5800000000000002E-2</v>
      </c>
      <c r="M144" s="10">
        <v>89.9</v>
      </c>
      <c r="N144" s="22">
        <v>15.8</v>
      </c>
      <c r="O144" s="42">
        <v>89.9</v>
      </c>
      <c r="P144" s="43">
        <v>1.0979000000000001</v>
      </c>
      <c r="Q144" s="23">
        <v>38.64</v>
      </c>
      <c r="R144" s="8">
        <v>100</v>
      </c>
      <c r="S144" s="22">
        <v>13.7</v>
      </c>
      <c r="T144" s="22">
        <v>12.5</v>
      </c>
      <c r="U144" s="1">
        <f t="shared" si="5"/>
        <v>1.1999999999999993</v>
      </c>
      <c r="V144" s="1" t="s">
        <v>48</v>
      </c>
      <c r="W144" s="1" t="s">
        <v>49</v>
      </c>
      <c r="X144" s="12" t="s">
        <v>50</v>
      </c>
      <c r="Y144" s="63" t="s">
        <v>51</v>
      </c>
      <c r="Z144" s="12"/>
      <c r="AA144" s="63" t="s">
        <v>51</v>
      </c>
      <c r="AB144" s="1" t="s">
        <v>242</v>
      </c>
      <c r="AC144" s="65" t="s">
        <v>52</v>
      </c>
      <c r="AD144" s="65">
        <v>20</v>
      </c>
      <c r="AE144" s="65" t="s">
        <v>52</v>
      </c>
      <c r="AF144" s="64">
        <f>G144-AD144</f>
        <v>1976</v>
      </c>
      <c r="AG144" s="64">
        <f>G144</f>
        <v>1996</v>
      </c>
      <c r="AH144" s="12"/>
      <c r="AI144" s="12"/>
      <c r="AJ144" s="12"/>
      <c r="AK144" s="12"/>
      <c r="AL144" s="12"/>
      <c r="AM144" s="12"/>
      <c r="AN144" s="12"/>
      <c r="AO144" s="69"/>
      <c r="AP144" s="69"/>
      <c r="AQ144" s="12"/>
      <c r="AR144" s="72"/>
      <c r="AS144" s="72"/>
      <c r="AT144" s="12"/>
      <c r="AU144" s="78"/>
      <c r="AV144" s="78"/>
      <c r="AW144" s="12"/>
      <c r="AX144" s="75"/>
      <c r="AY144" s="75"/>
      <c r="AZ144" s="12"/>
      <c r="BA144" s="81"/>
      <c r="BB144" s="81"/>
      <c r="BC144" s="12"/>
      <c r="BD144" s="85"/>
      <c r="BE144" s="85"/>
      <c r="BF144" s="12"/>
      <c r="BG144" s="12"/>
      <c r="BH144" s="12"/>
      <c r="BI144" s="12"/>
      <c r="BJ144" s="12"/>
      <c r="BK144" s="1" t="s">
        <v>53</v>
      </c>
    </row>
    <row r="145" spans="1:63" x14ac:dyDescent="0.2">
      <c r="A145" s="1">
        <v>142</v>
      </c>
      <c r="B145" s="12" t="s">
        <v>63</v>
      </c>
      <c r="C145" s="3" t="s">
        <v>45</v>
      </c>
      <c r="D145" s="1" t="s">
        <v>242</v>
      </c>
      <c r="E145" s="20">
        <v>26.31</v>
      </c>
      <c r="F145" s="10">
        <v>1935.8</v>
      </c>
      <c r="G145" s="10">
        <v>1996</v>
      </c>
      <c r="H145" s="20" t="s">
        <v>47</v>
      </c>
      <c r="I145" s="1" t="s">
        <v>59</v>
      </c>
      <c r="J145" s="1" t="s">
        <v>59</v>
      </c>
      <c r="K145" s="21">
        <v>1.0362</v>
      </c>
      <c r="L145" s="21">
        <v>1.24E-2</v>
      </c>
      <c r="M145" s="10">
        <v>28.6</v>
      </c>
      <c r="N145" s="22">
        <v>12.4</v>
      </c>
      <c r="O145" s="18">
        <f>(M145-M144*(1-R145/100))*100/R145</f>
        <v>26.704123711340202</v>
      </c>
      <c r="P145" s="19">
        <f>(K145-K144*(1-R145/100))*100/R145</f>
        <v>1.0342917525773196</v>
      </c>
      <c r="Q145" s="23">
        <v>10.74</v>
      </c>
      <c r="R145" s="24">
        <v>97</v>
      </c>
      <c r="S145" s="22">
        <v>28.2</v>
      </c>
      <c r="T145" s="22">
        <v>22.1</v>
      </c>
      <c r="U145" s="1">
        <f t="shared" si="5"/>
        <v>6.0999999999999979</v>
      </c>
      <c r="V145" s="1" t="s">
        <v>48</v>
      </c>
      <c r="W145" s="1" t="s">
        <v>49</v>
      </c>
      <c r="X145" s="12" t="s">
        <v>50</v>
      </c>
      <c r="Y145" s="63" t="s">
        <v>51</v>
      </c>
      <c r="Z145" s="12"/>
      <c r="AA145" s="63" t="s">
        <v>51</v>
      </c>
      <c r="AB145" s="1" t="s">
        <v>242</v>
      </c>
      <c r="AC145" s="65" t="s">
        <v>52</v>
      </c>
      <c r="AD145" s="65">
        <v>20</v>
      </c>
      <c r="AE145" s="65" t="s">
        <v>52</v>
      </c>
      <c r="AF145" s="64">
        <f>G145-AD145</f>
        <v>1976</v>
      </c>
      <c r="AG145" s="64">
        <f t="shared" ref="AG145:AG146" si="6">G145</f>
        <v>1996</v>
      </c>
      <c r="AH145" s="12"/>
      <c r="AI145" s="12"/>
      <c r="AJ145" s="12"/>
      <c r="AK145" s="12"/>
      <c r="AL145" s="12"/>
      <c r="AM145" s="12"/>
      <c r="AN145" s="12"/>
      <c r="AO145" s="69"/>
      <c r="AP145" s="69"/>
      <c r="AQ145" s="12"/>
      <c r="AR145" s="72"/>
      <c r="AS145" s="72"/>
      <c r="AT145" s="12"/>
      <c r="AU145" s="78"/>
      <c r="AV145" s="78"/>
      <c r="AW145" s="12"/>
      <c r="AX145" s="75"/>
      <c r="AY145" s="75"/>
      <c r="AZ145" s="12"/>
      <c r="BA145" s="81"/>
      <c r="BB145" s="81"/>
      <c r="BC145" s="12"/>
      <c r="BD145" s="85"/>
      <c r="BE145" s="85"/>
      <c r="BF145" s="12"/>
      <c r="BG145" s="12"/>
      <c r="BH145" s="12"/>
      <c r="BI145" s="12"/>
      <c r="BJ145" s="12"/>
      <c r="BK145" s="1" t="s">
        <v>53</v>
      </c>
    </row>
    <row r="146" spans="1:63" x14ac:dyDescent="0.2">
      <c r="A146" s="1">
        <v>143</v>
      </c>
      <c r="B146" s="12" t="s">
        <v>63</v>
      </c>
      <c r="C146" s="1" t="s">
        <v>54</v>
      </c>
      <c r="D146" s="1" t="s">
        <v>243</v>
      </c>
      <c r="E146" s="20">
        <v>27.94</v>
      </c>
      <c r="F146" s="10">
        <v>1955.6</v>
      </c>
      <c r="G146" s="10">
        <v>2007.6</v>
      </c>
      <c r="H146" s="33" t="s">
        <v>47</v>
      </c>
      <c r="I146" s="1" t="s">
        <v>59</v>
      </c>
      <c r="J146" s="1" t="s">
        <v>59</v>
      </c>
      <c r="K146" s="27">
        <v>1.1157756170551176</v>
      </c>
      <c r="L146" s="27">
        <v>1.6399999999999998E-2</v>
      </c>
      <c r="M146" s="28">
        <v>107.469595091928</v>
      </c>
      <c r="N146" s="29">
        <v>16.399999999999999</v>
      </c>
      <c r="O146" s="38">
        <v>107.469595091928</v>
      </c>
      <c r="P146" s="39">
        <v>1.1157756170551176</v>
      </c>
      <c r="Q146" s="23">
        <v>42.1</v>
      </c>
      <c r="R146" s="8">
        <v>100</v>
      </c>
      <c r="S146" s="22">
        <v>18.399999999999999</v>
      </c>
      <c r="T146" s="22">
        <v>15.5</v>
      </c>
      <c r="U146" s="1">
        <f t="shared" si="5"/>
        <v>2.8999999999999986</v>
      </c>
      <c r="V146" s="1" t="s">
        <v>48</v>
      </c>
      <c r="W146" s="1" t="s">
        <v>49</v>
      </c>
      <c r="X146" s="12" t="s">
        <v>244</v>
      </c>
      <c r="Y146" s="63" t="s">
        <v>51</v>
      </c>
      <c r="Z146" s="12"/>
      <c r="AA146" s="63" t="s">
        <v>51</v>
      </c>
      <c r="AB146" s="1" t="s">
        <v>243</v>
      </c>
      <c r="AC146" s="65" t="s">
        <v>52</v>
      </c>
      <c r="AD146" s="65">
        <v>30</v>
      </c>
      <c r="AE146" s="65" t="s">
        <v>52</v>
      </c>
      <c r="AF146" s="64">
        <f>G146-AD146</f>
        <v>1977.6</v>
      </c>
      <c r="AG146" s="64">
        <f t="shared" si="6"/>
        <v>2007.6</v>
      </c>
      <c r="AH146" s="12"/>
      <c r="AI146" s="12"/>
      <c r="AJ146" s="12"/>
      <c r="AK146" s="12"/>
      <c r="AL146" s="12"/>
      <c r="AM146" s="12"/>
      <c r="AN146" s="12"/>
      <c r="AO146" s="69"/>
      <c r="AP146" s="69"/>
      <c r="AQ146" s="12"/>
      <c r="AR146" s="72"/>
      <c r="AS146" s="72"/>
      <c r="AT146" s="12"/>
      <c r="AU146" s="78"/>
      <c r="AV146" s="78"/>
      <c r="AW146" s="12"/>
      <c r="AX146" s="75"/>
      <c r="AY146" s="75"/>
      <c r="AZ146" s="12"/>
      <c r="BA146" s="81"/>
      <c r="BB146" s="81"/>
      <c r="BC146" s="12"/>
      <c r="BD146" s="85"/>
      <c r="BE146" s="85"/>
      <c r="BF146" s="12"/>
      <c r="BG146" s="12"/>
      <c r="BH146" s="12"/>
      <c r="BI146" s="12"/>
      <c r="BJ146" s="12"/>
      <c r="BK146" s="1" t="s">
        <v>53</v>
      </c>
    </row>
    <row r="147" spans="1:63" s="92" customFormat="1" x14ac:dyDescent="0.2">
      <c r="A147" s="86">
        <v>144</v>
      </c>
      <c r="B147" s="87" t="s">
        <v>44</v>
      </c>
      <c r="C147" s="86" t="s">
        <v>54</v>
      </c>
      <c r="D147" s="87" t="s">
        <v>245</v>
      </c>
      <c r="E147" s="123">
        <v>25.697069943289225</v>
      </c>
      <c r="F147" s="86">
        <v>1948</v>
      </c>
      <c r="G147" s="86">
        <v>2004</v>
      </c>
      <c r="H147" s="86" t="s">
        <v>47</v>
      </c>
      <c r="I147" s="86" t="s">
        <v>59</v>
      </c>
      <c r="J147" s="86" t="s">
        <v>59</v>
      </c>
      <c r="K147" s="86">
        <v>1.0429999999999999</v>
      </c>
      <c r="L147" s="86">
        <v>8.6999999999999994E-3</v>
      </c>
      <c r="M147" s="86">
        <v>35.799999999999997</v>
      </c>
      <c r="N147" s="86">
        <v>8.6999999999999993</v>
      </c>
      <c r="O147" s="168">
        <v>35.799999999999997</v>
      </c>
      <c r="P147" s="167">
        <v>1.0429999999999999</v>
      </c>
      <c r="Q147" s="86" t="s">
        <v>59</v>
      </c>
      <c r="R147" s="98">
        <v>100</v>
      </c>
      <c r="S147" s="86" t="s">
        <v>59</v>
      </c>
      <c r="T147" s="86">
        <v>18.399999999999999</v>
      </c>
      <c r="U147" s="86" t="e">
        <f t="shared" si="5"/>
        <v>#VALUE!</v>
      </c>
      <c r="V147" s="86" t="s">
        <v>48</v>
      </c>
      <c r="W147" s="87" t="s">
        <v>59</v>
      </c>
      <c r="X147" s="86" t="s">
        <v>234</v>
      </c>
      <c r="Y147" s="86" t="s">
        <v>58</v>
      </c>
      <c r="Z147" s="86"/>
      <c r="AA147" s="86"/>
      <c r="AB147" s="87" t="s">
        <v>245</v>
      </c>
      <c r="AC147" s="86" t="s">
        <v>160</v>
      </c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86"/>
      <c r="AW147" s="86"/>
      <c r="AX147" s="86"/>
      <c r="AY147" s="86"/>
      <c r="AZ147" s="86"/>
      <c r="BA147" s="86"/>
      <c r="BB147" s="86"/>
      <c r="BC147" s="86"/>
      <c r="BD147" s="86"/>
      <c r="BE147" s="86"/>
      <c r="BF147" s="86"/>
      <c r="BG147" s="86"/>
      <c r="BH147" s="86"/>
      <c r="BI147" s="86"/>
      <c r="BJ147" s="92" t="s">
        <v>361</v>
      </c>
      <c r="BK147" s="86" t="s">
        <v>149</v>
      </c>
    </row>
    <row r="148" spans="1:63" s="92" customFormat="1" x14ac:dyDescent="0.2">
      <c r="A148" s="86">
        <v>145</v>
      </c>
      <c r="B148" s="87" t="s">
        <v>44</v>
      </c>
      <c r="C148" s="130" t="s">
        <v>45</v>
      </c>
      <c r="D148" s="131" t="s">
        <v>246</v>
      </c>
      <c r="E148" s="153">
        <v>17.592592592592592</v>
      </c>
      <c r="F148" s="130">
        <v>1963.9</v>
      </c>
      <c r="G148" s="130">
        <v>2007.1</v>
      </c>
      <c r="H148" s="130" t="s">
        <v>47</v>
      </c>
      <c r="I148" s="130"/>
      <c r="J148" s="130"/>
      <c r="K148" s="130">
        <v>1.3268602247276708</v>
      </c>
      <c r="L148" s="130">
        <v>1.8000000000000002E-2</v>
      </c>
      <c r="M148" s="130">
        <v>317.11358420455713</v>
      </c>
      <c r="N148" s="130">
        <v>17.876012302490835</v>
      </c>
      <c r="O148" s="160"/>
      <c r="P148" s="66">
        <f>(K148-1.430033423*(1-R148/100))*100/R148</f>
        <v>1.3236693010697635</v>
      </c>
      <c r="Q148" s="130">
        <v>10.7</v>
      </c>
      <c r="R148" s="90">
        <v>97</v>
      </c>
      <c r="S148" s="130">
        <v>20.666666666666668</v>
      </c>
      <c r="T148" s="130">
        <v>18.001804239963914</v>
      </c>
      <c r="U148" s="86">
        <f t="shared" si="5"/>
        <v>2.6648624267027543</v>
      </c>
      <c r="V148" s="130" t="s">
        <v>48</v>
      </c>
      <c r="W148" s="131"/>
      <c r="X148" s="124" t="s">
        <v>247</v>
      </c>
      <c r="Y148" s="86" t="s">
        <v>248</v>
      </c>
      <c r="Z148" s="161"/>
      <c r="AA148" s="124" t="s">
        <v>249</v>
      </c>
      <c r="AB148" s="131" t="s">
        <v>246</v>
      </c>
      <c r="AC148" s="86" t="s">
        <v>160</v>
      </c>
      <c r="AD148" s="130"/>
      <c r="AE148" s="86"/>
      <c r="AF148" s="130"/>
      <c r="AG148" s="86"/>
      <c r="AH148" s="86"/>
      <c r="AI148" s="86"/>
      <c r="AJ148" s="86"/>
      <c r="AK148" s="86"/>
      <c r="AL148" s="124"/>
      <c r="AM148" s="124"/>
      <c r="AN148" s="124"/>
      <c r="AO148" s="124"/>
      <c r="AP148" s="124"/>
      <c r="AQ148" s="124"/>
      <c r="AR148" s="124"/>
      <c r="AS148" s="124"/>
      <c r="AT148" s="124"/>
      <c r="AU148" s="124"/>
      <c r="AV148" s="124"/>
      <c r="AW148" s="124"/>
      <c r="AX148" s="124"/>
      <c r="AY148" s="124"/>
      <c r="AZ148" s="124"/>
      <c r="BA148" s="124"/>
      <c r="BB148" s="124"/>
      <c r="BC148" s="124"/>
      <c r="BD148" s="124"/>
      <c r="BE148" s="124"/>
      <c r="BF148" s="124"/>
      <c r="BG148" s="130"/>
      <c r="BH148" s="130"/>
      <c r="BI148" s="162"/>
      <c r="BJ148" s="86"/>
      <c r="BK148" s="86" t="s">
        <v>149</v>
      </c>
    </row>
    <row r="149" spans="1:63" s="92" customFormat="1" x14ac:dyDescent="0.2">
      <c r="A149" s="86">
        <v>146</v>
      </c>
      <c r="B149" s="87" t="s">
        <v>44</v>
      </c>
      <c r="C149" s="86" t="s">
        <v>45</v>
      </c>
      <c r="D149" s="87" t="s">
        <v>250</v>
      </c>
      <c r="E149" s="123">
        <v>29.3523545006944</v>
      </c>
      <c r="F149" s="86">
        <v>1975.9</v>
      </c>
      <c r="G149" s="86">
        <v>2007.4</v>
      </c>
      <c r="H149" s="86" t="s">
        <v>47</v>
      </c>
      <c r="I149" s="86"/>
      <c r="J149" s="86"/>
      <c r="K149" s="86">
        <v>1.2778763858119628</v>
      </c>
      <c r="L149" s="86">
        <v>1.6E-2</v>
      </c>
      <c r="M149" s="86">
        <v>268.48956304542651</v>
      </c>
      <c r="N149" s="86">
        <v>15.890408017998766</v>
      </c>
      <c r="O149" s="90"/>
      <c r="P149" s="66">
        <f>(K149-1.283667269*(1-R149/100))*100/R149</f>
        <v>1.2776663537792359</v>
      </c>
      <c r="Q149" s="86">
        <v>13.6</v>
      </c>
      <c r="R149" s="90">
        <v>96.5</v>
      </c>
      <c r="S149" s="86">
        <v>30</v>
      </c>
      <c r="T149" s="86">
        <v>24.271538114569239</v>
      </c>
      <c r="U149" s="86">
        <f t="shared" si="5"/>
        <v>5.728461885430761</v>
      </c>
      <c r="V149" s="86" t="s">
        <v>151</v>
      </c>
      <c r="W149" s="87"/>
      <c r="X149" s="86" t="s">
        <v>211</v>
      </c>
      <c r="Y149" s="86" t="s">
        <v>248</v>
      </c>
      <c r="Z149" s="86"/>
      <c r="AA149" s="86" t="s">
        <v>249</v>
      </c>
      <c r="AB149" s="87" t="s">
        <v>250</v>
      </c>
      <c r="AC149" s="86" t="s">
        <v>160</v>
      </c>
      <c r="AD149" s="86">
        <v>15</v>
      </c>
      <c r="AE149" s="86" t="s">
        <v>160</v>
      </c>
      <c r="AF149" s="86">
        <f>AG149-AD149</f>
        <v>1992.4</v>
      </c>
      <c r="AG149" s="86">
        <f>G149</f>
        <v>2007.4</v>
      </c>
      <c r="AH149" s="86"/>
      <c r="AI149" s="86"/>
      <c r="AJ149" s="86"/>
      <c r="AK149" s="86"/>
      <c r="AL149" s="124"/>
      <c r="AM149" s="86"/>
      <c r="AN149" s="86"/>
      <c r="AO149" s="86"/>
      <c r="AP149" s="86"/>
      <c r="AQ149" s="86"/>
      <c r="AR149" s="86"/>
      <c r="AS149" s="86"/>
      <c r="AT149" s="86"/>
      <c r="AU149" s="86"/>
      <c r="AV149" s="86"/>
      <c r="AW149" s="86"/>
      <c r="AX149" s="86"/>
      <c r="AY149" s="86"/>
      <c r="AZ149" s="86"/>
      <c r="BA149" s="86"/>
      <c r="BB149" s="86"/>
      <c r="BC149" s="86"/>
      <c r="BD149" s="86"/>
      <c r="BE149" s="86"/>
      <c r="BF149" s="86"/>
      <c r="BG149" s="86"/>
      <c r="BH149" s="86"/>
      <c r="BI149" s="86"/>
      <c r="BJ149" s="86" t="s">
        <v>362</v>
      </c>
      <c r="BK149" s="86" t="s">
        <v>149</v>
      </c>
    </row>
    <row r="150" spans="1:63" s="92" customFormat="1" x14ac:dyDescent="0.2">
      <c r="A150" s="86">
        <v>147</v>
      </c>
      <c r="B150" s="87" t="s">
        <v>44</v>
      </c>
      <c r="C150" s="86" t="s">
        <v>54</v>
      </c>
      <c r="D150" s="87" t="s">
        <v>251</v>
      </c>
      <c r="E150" s="123">
        <v>25.216253311628201</v>
      </c>
      <c r="F150" s="86">
        <v>1982.8</v>
      </c>
      <c r="G150" s="86">
        <v>2007.1</v>
      </c>
      <c r="H150" s="86" t="s">
        <v>47</v>
      </c>
      <c r="I150" s="86"/>
      <c r="J150" s="86"/>
      <c r="K150" s="86">
        <v>1.1891753739692832</v>
      </c>
      <c r="L150" s="86">
        <v>1.2E-2</v>
      </c>
      <c r="M150" s="86">
        <v>180.44011710272278</v>
      </c>
      <c r="N150" s="86">
        <v>11.919257744359612</v>
      </c>
      <c r="O150" s="90"/>
      <c r="P150" s="125">
        <f>K150</f>
        <v>1.1891753739692832</v>
      </c>
      <c r="Q150" s="86">
        <v>56.2</v>
      </c>
      <c r="R150" s="90">
        <v>100</v>
      </c>
      <c r="S150" s="86">
        <v>75</v>
      </c>
      <c r="T150" s="86">
        <v>55.620207487595849</v>
      </c>
      <c r="U150" s="86">
        <f t="shared" si="5"/>
        <v>19.379792512404151</v>
      </c>
      <c r="V150" s="86" t="s">
        <v>48</v>
      </c>
      <c r="W150" s="87"/>
      <c r="X150" s="86" t="s">
        <v>147</v>
      </c>
      <c r="Y150" s="86" t="s">
        <v>248</v>
      </c>
      <c r="Z150" s="86"/>
      <c r="AA150" s="86" t="s">
        <v>249</v>
      </c>
      <c r="AB150" s="87" t="s">
        <v>251</v>
      </c>
      <c r="AC150" s="86" t="s">
        <v>160</v>
      </c>
      <c r="AD150" s="86">
        <v>5</v>
      </c>
      <c r="AE150" s="86" t="s">
        <v>160</v>
      </c>
      <c r="AF150" s="86">
        <f>AG150-AD150</f>
        <v>2002.1</v>
      </c>
      <c r="AG150" s="86">
        <f>G150</f>
        <v>2007.1</v>
      </c>
      <c r="AH150" s="86"/>
      <c r="AI150" s="86"/>
      <c r="AJ150" s="86"/>
      <c r="AK150" s="86"/>
      <c r="AL150" s="124"/>
      <c r="AM150" s="86"/>
      <c r="AN150" s="86"/>
      <c r="AO150" s="86"/>
      <c r="AP150" s="86"/>
      <c r="AQ150" s="86"/>
      <c r="AR150" s="86"/>
      <c r="AS150" s="86"/>
      <c r="AT150" s="86"/>
      <c r="AU150" s="86"/>
      <c r="AV150" s="86"/>
      <c r="AW150" s="86"/>
      <c r="AX150" s="86"/>
      <c r="AY150" s="86"/>
      <c r="AZ150" s="86"/>
      <c r="BA150" s="86"/>
      <c r="BB150" s="86"/>
      <c r="BC150" s="86"/>
      <c r="BD150" s="86"/>
      <c r="BE150" s="86"/>
      <c r="BF150" s="86"/>
      <c r="BG150" s="86"/>
      <c r="BH150" s="86"/>
      <c r="BI150" s="86"/>
      <c r="BJ150" s="86"/>
      <c r="BK150" s="86" t="s">
        <v>149</v>
      </c>
    </row>
    <row r="151" spans="1:63" s="92" customFormat="1" ht="17" thickBot="1" x14ac:dyDescent="0.25">
      <c r="A151" s="86">
        <v>148</v>
      </c>
      <c r="B151" s="87" t="s">
        <v>44</v>
      </c>
      <c r="C151" s="86" t="s">
        <v>54</v>
      </c>
      <c r="D151" s="87" t="s">
        <v>252</v>
      </c>
      <c r="E151" s="88">
        <v>30.273711806747606</v>
      </c>
      <c r="F151" s="86">
        <v>1971.5</v>
      </c>
      <c r="G151" s="86">
        <v>2004.8</v>
      </c>
      <c r="H151" s="86" t="s">
        <v>47</v>
      </c>
      <c r="I151" s="86"/>
      <c r="J151" s="86"/>
      <c r="K151" s="86">
        <v>1.3358679274694112</v>
      </c>
      <c r="L151" s="86">
        <v>2.4032714960292037E-2</v>
      </c>
      <c r="M151" s="86">
        <v>327.00995340138104</v>
      </c>
      <c r="N151" s="86">
        <v>24.032714960292036</v>
      </c>
      <c r="O151" s="90"/>
      <c r="P151" s="125">
        <f>K151</f>
        <v>1.3358679274694112</v>
      </c>
      <c r="Q151" s="86">
        <v>113</v>
      </c>
      <c r="R151" s="90">
        <v>100</v>
      </c>
      <c r="S151" s="86">
        <v>74</v>
      </c>
      <c r="T151" s="86">
        <v>60</v>
      </c>
      <c r="U151" s="86">
        <f t="shared" si="5"/>
        <v>14</v>
      </c>
      <c r="V151" s="86" t="s">
        <v>151</v>
      </c>
      <c r="W151" s="126"/>
      <c r="X151" s="86" t="s">
        <v>152</v>
      </c>
      <c r="Y151" s="86" t="s">
        <v>253</v>
      </c>
      <c r="Z151" s="86" t="s">
        <v>253</v>
      </c>
      <c r="AA151" s="86"/>
      <c r="AB151" s="87" t="s">
        <v>252</v>
      </c>
      <c r="AC151" s="86" t="s">
        <v>160</v>
      </c>
      <c r="AD151" s="86"/>
      <c r="AE151" s="86"/>
      <c r="AF151" s="86"/>
      <c r="AG151" s="86"/>
      <c r="AH151" s="86">
        <v>1.5</v>
      </c>
      <c r="AI151" s="86" t="s">
        <v>160</v>
      </c>
      <c r="AJ151" s="86">
        <f>F151+13</f>
        <v>1984.5</v>
      </c>
      <c r="AK151" s="86">
        <f>G151</f>
        <v>2004.8</v>
      </c>
      <c r="AL151" s="124"/>
      <c r="AM151" s="86"/>
      <c r="AN151" s="86"/>
      <c r="AO151" s="86"/>
      <c r="AP151" s="86"/>
      <c r="AQ151" s="86"/>
      <c r="AR151" s="86"/>
      <c r="AS151" s="86"/>
      <c r="AT151" s="86"/>
      <c r="AU151" s="86"/>
      <c r="AV151" s="86"/>
      <c r="AW151" s="86"/>
      <c r="AX151" s="86"/>
      <c r="AY151" s="86"/>
      <c r="AZ151" s="86"/>
      <c r="BA151" s="86"/>
      <c r="BB151" s="86"/>
      <c r="BC151" s="86"/>
      <c r="BD151" s="86"/>
      <c r="BE151" s="86"/>
      <c r="BF151" s="86"/>
      <c r="BG151" s="86"/>
      <c r="BH151" s="86"/>
      <c r="BI151" s="86"/>
      <c r="BJ151" s="86"/>
      <c r="BK151" s="86" t="s">
        <v>149</v>
      </c>
    </row>
    <row r="152" spans="1:63" s="92" customFormat="1" ht="17" thickTop="1" x14ac:dyDescent="0.2">
      <c r="A152" s="86">
        <v>149</v>
      </c>
      <c r="B152" s="87" t="s">
        <v>44</v>
      </c>
      <c r="C152" s="86" t="s">
        <v>45</v>
      </c>
      <c r="D152" s="87" t="s">
        <v>252</v>
      </c>
      <c r="E152" s="88">
        <v>30.273711806747606</v>
      </c>
      <c r="F152" s="86">
        <v>1971.5</v>
      </c>
      <c r="G152" s="86">
        <v>2004.8</v>
      </c>
      <c r="H152" s="86" t="s">
        <v>47</v>
      </c>
      <c r="I152" s="86"/>
      <c r="J152" s="86"/>
      <c r="K152" s="86">
        <v>1.3930882292732854</v>
      </c>
      <c r="L152" s="86">
        <v>2.5203502164422489E-2</v>
      </c>
      <c r="M152" s="86">
        <v>383.85083450121613</v>
      </c>
      <c r="N152" s="86">
        <v>25.203502164422488</v>
      </c>
      <c r="O152" s="90"/>
      <c r="P152" s="89">
        <f>(K152-K151*(1-R152/100))*100/R152</f>
        <v>1.3942559905345888</v>
      </c>
      <c r="Q152" s="86">
        <v>50</v>
      </c>
      <c r="R152" s="90">
        <v>98</v>
      </c>
      <c r="S152" s="86">
        <v>86</v>
      </c>
      <c r="T152" s="86">
        <v>58</v>
      </c>
      <c r="U152" s="86">
        <f t="shared" si="5"/>
        <v>28</v>
      </c>
      <c r="V152" s="86" t="s">
        <v>151</v>
      </c>
      <c r="W152" s="87"/>
      <c r="X152" s="86" t="s">
        <v>152</v>
      </c>
      <c r="Y152" s="86" t="s">
        <v>253</v>
      </c>
      <c r="Z152" s="86" t="s">
        <v>253</v>
      </c>
      <c r="AA152" s="86"/>
      <c r="AB152" s="87" t="s">
        <v>252</v>
      </c>
      <c r="AC152" s="86" t="s">
        <v>160</v>
      </c>
      <c r="AD152" s="86"/>
      <c r="AE152" s="86"/>
      <c r="AF152" s="86"/>
      <c r="AG152" s="86"/>
      <c r="AH152" s="86">
        <v>1.5</v>
      </c>
      <c r="AI152" s="86" t="s">
        <v>160</v>
      </c>
      <c r="AJ152" s="86">
        <f>F152+13</f>
        <v>1984.5</v>
      </c>
      <c r="AK152" s="86">
        <f>G152</f>
        <v>2004.8</v>
      </c>
      <c r="AL152" s="124"/>
      <c r="AM152" s="86"/>
      <c r="AN152" s="86"/>
      <c r="AO152" s="86"/>
      <c r="AP152" s="86"/>
      <c r="AQ152" s="86"/>
      <c r="AR152" s="86"/>
      <c r="AS152" s="86"/>
      <c r="AT152" s="86"/>
      <c r="AU152" s="86"/>
      <c r="AV152" s="86"/>
      <c r="AW152" s="86"/>
      <c r="AX152" s="86"/>
      <c r="AY152" s="86"/>
      <c r="AZ152" s="86"/>
      <c r="BA152" s="86"/>
      <c r="BB152" s="86"/>
      <c r="BC152" s="86"/>
      <c r="BD152" s="86"/>
      <c r="BE152" s="86"/>
      <c r="BF152" s="86"/>
      <c r="BG152" s="86"/>
      <c r="BH152" s="86"/>
      <c r="BI152" s="86"/>
      <c r="BJ152" s="86"/>
      <c r="BK152" s="86" t="s">
        <v>149</v>
      </c>
    </row>
    <row r="153" spans="1:63" s="92" customFormat="1" x14ac:dyDescent="0.2">
      <c r="A153" s="86">
        <v>150</v>
      </c>
      <c r="B153" s="87" t="s">
        <v>44</v>
      </c>
      <c r="C153" s="86" t="s">
        <v>54</v>
      </c>
      <c r="D153" s="87" t="s">
        <v>254</v>
      </c>
      <c r="E153" s="88">
        <v>24.930747922437675</v>
      </c>
      <c r="F153" s="86">
        <v>1946.5</v>
      </c>
      <c r="G153" s="86">
        <v>2004.8</v>
      </c>
      <c r="H153" s="86" t="s">
        <v>47</v>
      </c>
      <c r="I153" s="86"/>
      <c r="J153" s="86"/>
      <c r="K153" s="86">
        <v>1.1131500000000001</v>
      </c>
      <c r="L153" s="86">
        <v>2.3400000000000001E-2</v>
      </c>
      <c r="M153" s="86">
        <v>97</v>
      </c>
      <c r="N153" s="86">
        <v>20.6</v>
      </c>
      <c r="O153" s="90"/>
      <c r="P153" s="125">
        <f>K153</f>
        <v>1.1131500000000001</v>
      </c>
      <c r="Q153" s="86">
        <v>188</v>
      </c>
      <c r="R153" s="90">
        <v>100</v>
      </c>
      <c r="S153" s="86">
        <v>76</v>
      </c>
      <c r="T153" s="86">
        <v>60</v>
      </c>
      <c r="U153" s="86">
        <f t="shared" si="5"/>
        <v>16</v>
      </c>
      <c r="V153" s="86" t="s">
        <v>151</v>
      </c>
      <c r="W153" s="87"/>
      <c r="X153" s="86" t="s">
        <v>152</v>
      </c>
      <c r="Y153" s="86" t="s">
        <v>253</v>
      </c>
      <c r="Z153" s="86" t="s">
        <v>253</v>
      </c>
      <c r="AA153" s="86"/>
      <c r="AB153" s="87" t="s">
        <v>254</v>
      </c>
      <c r="AC153" s="86" t="s">
        <v>160</v>
      </c>
      <c r="AD153" s="86"/>
      <c r="AE153" s="86"/>
      <c r="AF153" s="86"/>
      <c r="AG153" s="86"/>
      <c r="AH153" s="86">
        <v>10</v>
      </c>
      <c r="AI153" s="86" t="s">
        <v>160</v>
      </c>
      <c r="AJ153" s="86">
        <f>G153-10</f>
        <v>1994.8</v>
      </c>
      <c r="AK153" s="86">
        <f>G153</f>
        <v>2004.8</v>
      </c>
      <c r="AL153" s="124" t="s">
        <v>255</v>
      </c>
      <c r="AM153" s="86"/>
      <c r="AN153" s="86" t="s">
        <v>44</v>
      </c>
      <c r="AO153" s="86">
        <f>G153-10</f>
        <v>1994.8</v>
      </c>
      <c r="AP153" s="86">
        <f>G153</f>
        <v>2004.8</v>
      </c>
      <c r="AQ153" s="86"/>
      <c r="AR153" s="86"/>
      <c r="AS153" s="86"/>
      <c r="AT153" s="86"/>
      <c r="AU153" s="86"/>
      <c r="AV153" s="86"/>
      <c r="AW153" s="86"/>
      <c r="AX153" s="86"/>
      <c r="AY153" s="86"/>
      <c r="AZ153" s="86"/>
      <c r="BA153" s="86"/>
      <c r="BB153" s="86"/>
      <c r="BC153" s="86"/>
      <c r="BD153" s="86"/>
      <c r="BE153" s="86"/>
      <c r="BF153" s="86"/>
      <c r="BG153" s="86"/>
      <c r="BH153" s="86"/>
      <c r="BI153" s="86">
        <v>10</v>
      </c>
      <c r="BJ153" s="86"/>
      <c r="BK153" s="86" t="s">
        <v>149</v>
      </c>
    </row>
    <row r="154" spans="1:63" s="92" customFormat="1" x14ac:dyDescent="0.2">
      <c r="A154" s="86">
        <v>151</v>
      </c>
      <c r="B154" s="87" t="s">
        <v>44</v>
      </c>
      <c r="C154" s="86" t="s">
        <v>45</v>
      </c>
      <c r="D154" s="87" t="s">
        <v>254</v>
      </c>
      <c r="E154" s="88">
        <v>24.930747922437675</v>
      </c>
      <c r="F154" s="86">
        <v>1946.5</v>
      </c>
      <c r="G154" s="86">
        <v>2004.8</v>
      </c>
      <c r="H154" s="86" t="s">
        <v>47</v>
      </c>
      <c r="I154" s="86"/>
      <c r="J154" s="86"/>
      <c r="K154" s="86">
        <v>1.0053736110519449</v>
      </c>
      <c r="L154" s="86">
        <v>2.2068947364335439E-2</v>
      </c>
      <c r="M154" s="86">
        <v>-1.2928963117360137</v>
      </c>
      <c r="N154" s="86">
        <v>22.06894736433544</v>
      </c>
      <c r="O154" s="86"/>
      <c r="P154" s="89">
        <f>(K154-K153*(1-R154/100))*100/R154</f>
        <v>1.0037323462456293</v>
      </c>
      <c r="Q154" s="86">
        <v>55</v>
      </c>
      <c r="R154" s="90">
        <v>98.5</v>
      </c>
      <c r="S154" s="86">
        <v>71</v>
      </c>
      <c r="T154" s="86">
        <v>49</v>
      </c>
      <c r="U154" s="86">
        <f t="shared" si="5"/>
        <v>22</v>
      </c>
      <c r="V154" s="86" t="s">
        <v>151</v>
      </c>
      <c r="W154" s="87"/>
      <c r="X154" s="86" t="s">
        <v>152</v>
      </c>
      <c r="Y154" s="86" t="s">
        <v>253</v>
      </c>
      <c r="Z154" s="86" t="s">
        <v>253</v>
      </c>
      <c r="AA154" s="86"/>
      <c r="AB154" s="87" t="s">
        <v>254</v>
      </c>
      <c r="AC154" s="86" t="s">
        <v>160</v>
      </c>
      <c r="AD154" s="86"/>
      <c r="AE154" s="86"/>
      <c r="AF154" s="86"/>
      <c r="AG154" s="86"/>
      <c r="AH154" s="86">
        <v>10</v>
      </c>
      <c r="AI154" s="86" t="s">
        <v>160</v>
      </c>
      <c r="AJ154" s="86">
        <f>G154-10</f>
        <v>1994.8</v>
      </c>
      <c r="AK154" s="86">
        <f t="shared" ref="AK154" si="7">G154</f>
        <v>2004.8</v>
      </c>
      <c r="AL154" s="124" t="s">
        <v>255</v>
      </c>
      <c r="AM154" s="86"/>
      <c r="AN154" s="86" t="s">
        <v>44</v>
      </c>
      <c r="AO154" s="86">
        <f>G154-10</f>
        <v>1994.8</v>
      </c>
      <c r="AP154" s="86">
        <f>G154</f>
        <v>2004.8</v>
      </c>
      <c r="AQ154" s="86"/>
      <c r="AR154" s="86"/>
      <c r="AS154" s="86"/>
      <c r="AT154" s="86"/>
      <c r="AU154" s="86"/>
      <c r="AV154" s="86"/>
      <c r="AW154" s="86"/>
      <c r="AX154" s="86"/>
      <c r="AY154" s="86"/>
      <c r="AZ154" s="86"/>
      <c r="BA154" s="86"/>
      <c r="BB154" s="86"/>
      <c r="BC154" s="86"/>
      <c r="BD154" s="86"/>
      <c r="BE154" s="86"/>
      <c r="BF154" s="86"/>
      <c r="BG154" s="86"/>
      <c r="BH154" s="86"/>
      <c r="BI154" s="86">
        <v>10</v>
      </c>
      <c r="BJ154" s="86"/>
      <c r="BK154" s="86" t="s">
        <v>149</v>
      </c>
    </row>
    <row r="155" spans="1:63" s="92" customFormat="1" x14ac:dyDescent="0.2">
      <c r="A155" s="86">
        <v>152</v>
      </c>
      <c r="B155" s="86" t="s">
        <v>63</v>
      </c>
      <c r="C155" s="91" t="s">
        <v>54</v>
      </c>
      <c r="D155" s="91" t="s">
        <v>256</v>
      </c>
      <c r="E155" s="88">
        <v>31.615792841281195</v>
      </c>
      <c r="F155" s="86">
        <v>1954.1</v>
      </c>
      <c r="G155" s="86">
        <v>2007.8</v>
      </c>
      <c r="H155" s="86" t="s">
        <v>69</v>
      </c>
      <c r="I155" s="86">
        <v>1.97</v>
      </c>
      <c r="J155" s="86">
        <v>2.2999999999999998</v>
      </c>
      <c r="K155" s="119">
        <v>1.1025405004083315</v>
      </c>
      <c r="L155" s="127">
        <v>1.3000000000000001E-2</v>
      </c>
      <c r="M155" s="88">
        <v>94.039811076268791</v>
      </c>
      <c r="N155" s="128">
        <v>13</v>
      </c>
      <c r="O155" s="90"/>
      <c r="P155" s="125">
        <f>K155</f>
        <v>1.1025405004083315</v>
      </c>
      <c r="Q155" s="91">
        <v>39.9</v>
      </c>
      <c r="R155" s="90">
        <v>100</v>
      </c>
      <c r="S155" s="86">
        <v>64.716666666666669</v>
      </c>
      <c r="T155" s="88">
        <v>63.694181326116372</v>
      </c>
      <c r="U155" s="86">
        <f t="shared" si="5"/>
        <v>1.0224853405502969</v>
      </c>
      <c r="V155" s="86" t="s">
        <v>151</v>
      </c>
      <c r="W155" s="91"/>
      <c r="X155" s="86" t="s">
        <v>257</v>
      </c>
      <c r="Y155" s="86" t="s">
        <v>253</v>
      </c>
      <c r="Z155" s="86" t="s">
        <v>253</v>
      </c>
      <c r="AA155" s="86" t="s">
        <v>51</v>
      </c>
      <c r="AB155" s="91" t="s">
        <v>256</v>
      </c>
      <c r="AC155" s="86" t="s">
        <v>160</v>
      </c>
      <c r="AD155" s="99">
        <f>AG155-AF155</f>
        <v>14</v>
      </c>
      <c r="AE155" s="86" t="s">
        <v>153</v>
      </c>
      <c r="AF155" s="86">
        <v>1993.8</v>
      </c>
      <c r="AG155" s="94">
        <f>G155</f>
        <v>2007.8</v>
      </c>
      <c r="AH155" s="86">
        <v>4</v>
      </c>
      <c r="AI155" s="86" t="s">
        <v>160</v>
      </c>
      <c r="AJ155" s="99">
        <f>F155+44</f>
        <v>1998.1</v>
      </c>
      <c r="AK155" s="94">
        <f>G155</f>
        <v>2007.8</v>
      </c>
      <c r="AL155" s="124" t="s">
        <v>49</v>
      </c>
      <c r="AM155" s="86"/>
      <c r="AN155" s="86" t="s">
        <v>44</v>
      </c>
      <c r="AO155" s="86">
        <v>2005.8</v>
      </c>
      <c r="AP155" s="86">
        <v>2006.8</v>
      </c>
      <c r="AQ155" s="86" t="s">
        <v>44</v>
      </c>
      <c r="AR155" s="86">
        <v>2007.1</v>
      </c>
      <c r="AS155" s="86">
        <v>2007.8</v>
      </c>
      <c r="AT155" s="86" t="s">
        <v>44</v>
      </c>
      <c r="AU155" s="86">
        <v>2006.4</v>
      </c>
      <c r="AV155" s="86"/>
      <c r="AW155" s="86"/>
      <c r="AX155" s="86"/>
      <c r="AY155" s="86"/>
      <c r="AZ155" s="86"/>
      <c r="BA155" s="86"/>
      <c r="BB155" s="86"/>
      <c r="BC155" s="86" t="s">
        <v>44</v>
      </c>
      <c r="BD155" s="86">
        <v>2005.7</v>
      </c>
      <c r="BE155" s="86">
        <v>2007.8</v>
      </c>
      <c r="BF155" s="86" t="s">
        <v>182</v>
      </c>
      <c r="BG155" s="86">
        <v>2005.8</v>
      </c>
      <c r="BH155" s="86">
        <f>G155</f>
        <v>2007.8</v>
      </c>
      <c r="BI155" s="86">
        <f>BH155-BG155</f>
        <v>2</v>
      </c>
      <c r="BJ155" s="86" t="s">
        <v>258</v>
      </c>
      <c r="BK155" s="86" t="s">
        <v>149</v>
      </c>
    </row>
    <row r="156" spans="1:63" s="92" customFormat="1" x14ac:dyDescent="0.2">
      <c r="A156" s="86">
        <v>153</v>
      </c>
      <c r="B156" s="86" t="s">
        <v>63</v>
      </c>
      <c r="C156" s="91" t="s">
        <v>54</v>
      </c>
      <c r="D156" s="91" t="s">
        <v>259</v>
      </c>
      <c r="E156" s="88">
        <v>25.697069943289225</v>
      </c>
      <c r="F156" s="86">
        <v>1982.4</v>
      </c>
      <c r="G156" s="86">
        <v>2008</v>
      </c>
      <c r="H156" s="86" t="s">
        <v>47</v>
      </c>
      <c r="I156" s="86">
        <v>1.97</v>
      </c>
      <c r="J156" s="86">
        <v>2.27</v>
      </c>
      <c r="K156" s="96">
        <v>1.1998034653639302</v>
      </c>
      <c r="L156" s="96">
        <v>1.26E-2</v>
      </c>
      <c r="M156" s="88">
        <v>190.55286956739147</v>
      </c>
      <c r="N156" s="97">
        <v>12.6</v>
      </c>
      <c r="O156" s="90"/>
      <c r="P156" s="125">
        <f>K156</f>
        <v>1.1998034653639302</v>
      </c>
      <c r="Q156" s="91">
        <v>77.3</v>
      </c>
      <c r="R156" s="90">
        <v>100</v>
      </c>
      <c r="S156" s="86">
        <v>84.649999999999991</v>
      </c>
      <c r="T156" s="88">
        <v>79.075327018493454</v>
      </c>
      <c r="U156" s="86">
        <f t="shared" si="5"/>
        <v>5.5746729815065379</v>
      </c>
      <c r="V156" s="86" t="s">
        <v>151</v>
      </c>
      <c r="W156" s="91"/>
      <c r="X156" s="86" t="s">
        <v>152</v>
      </c>
      <c r="Y156" s="86" t="s">
        <v>248</v>
      </c>
      <c r="Z156" s="86"/>
      <c r="AA156" s="86" t="s">
        <v>249</v>
      </c>
      <c r="AB156" s="91" t="s">
        <v>259</v>
      </c>
      <c r="AC156" s="86" t="s">
        <v>160</v>
      </c>
      <c r="AD156" s="86">
        <v>3</v>
      </c>
      <c r="AE156" s="86" t="s">
        <v>160</v>
      </c>
      <c r="AF156" s="99">
        <f>AG156-AD156</f>
        <v>2005</v>
      </c>
      <c r="AG156" s="94">
        <f>G156</f>
        <v>2008</v>
      </c>
      <c r="AH156" s="86"/>
      <c r="AI156" s="86"/>
      <c r="AJ156" s="86"/>
      <c r="AK156" s="86"/>
      <c r="AL156" s="124"/>
      <c r="AM156" s="86"/>
      <c r="AN156" s="86"/>
      <c r="AO156" s="86"/>
      <c r="AP156" s="86"/>
      <c r="AQ156" s="86"/>
      <c r="AR156" s="86"/>
      <c r="AS156" s="86"/>
      <c r="AT156" s="86"/>
      <c r="AU156" s="86"/>
      <c r="AV156" s="86"/>
      <c r="AW156" s="86"/>
      <c r="AX156" s="86"/>
      <c r="AY156" s="86"/>
      <c r="AZ156" s="86"/>
      <c r="BA156" s="86"/>
      <c r="BB156" s="86"/>
      <c r="BC156" s="86"/>
      <c r="BD156" s="86"/>
      <c r="BE156" s="86"/>
      <c r="BF156" s="86"/>
      <c r="BG156" s="86"/>
      <c r="BH156" s="86"/>
      <c r="BI156" s="86"/>
      <c r="BJ156" s="86"/>
      <c r="BK156" s="86" t="s">
        <v>149</v>
      </c>
    </row>
    <row r="157" spans="1:63" s="92" customFormat="1" x14ac:dyDescent="0.2">
      <c r="A157" s="86">
        <v>154</v>
      </c>
      <c r="B157" s="86" t="s">
        <v>63</v>
      </c>
      <c r="C157" s="91" t="s">
        <v>54</v>
      </c>
      <c r="D157" s="91" t="s">
        <v>260</v>
      </c>
      <c r="E157" s="88">
        <v>28.124999999999993</v>
      </c>
      <c r="F157" s="86">
        <v>1988.3</v>
      </c>
      <c r="G157" s="86">
        <v>2008.3</v>
      </c>
      <c r="H157" s="86" t="s">
        <v>69</v>
      </c>
      <c r="I157" s="86">
        <v>1.98</v>
      </c>
      <c r="J157" s="86">
        <v>2.2400000000000002</v>
      </c>
      <c r="K157" s="96">
        <v>1.143697621243569</v>
      </c>
      <c r="L157" s="96">
        <v>1.34E-2</v>
      </c>
      <c r="M157" s="88">
        <v>135.01475834225096</v>
      </c>
      <c r="N157" s="97">
        <v>13.4</v>
      </c>
      <c r="O157" s="90"/>
      <c r="P157" s="125">
        <f>K157</f>
        <v>1.143697621243569</v>
      </c>
      <c r="Q157" s="91" t="s">
        <v>59</v>
      </c>
      <c r="R157" s="90">
        <v>100</v>
      </c>
      <c r="S157" s="86">
        <v>108.85000000000001</v>
      </c>
      <c r="T157" s="88">
        <v>95.087956698240859</v>
      </c>
      <c r="U157" s="86">
        <f t="shared" si="5"/>
        <v>13.762043301759149</v>
      </c>
      <c r="V157" s="86" t="s">
        <v>151</v>
      </c>
      <c r="W157" s="91"/>
      <c r="X157" s="86" t="s">
        <v>257</v>
      </c>
      <c r="Y157" s="86" t="s">
        <v>166</v>
      </c>
      <c r="Z157" s="86" t="s">
        <v>166</v>
      </c>
      <c r="AA157" s="86"/>
      <c r="AB157" s="91" t="s">
        <v>260</v>
      </c>
      <c r="AC157" s="86" t="s">
        <v>160</v>
      </c>
      <c r="AD157" s="86"/>
      <c r="AE157" s="86"/>
      <c r="AF157" s="86"/>
      <c r="AG157" s="86"/>
      <c r="AH157" s="86" t="s">
        <v>261</v>
      </c>
      <c r="AI157" s="86" t="s">
        <v>160</v>
      </c>
      <c r="AJ157" s="86" t="s">
        <v>261</v>
      </c>
      <c r="AK157" s="94">
        <f>G157</f>
        <v>2008.3</v>
      </c>
      <c r="AL157" s="124"/>
      <c r="AM157" s="86"/>
      <c r="AN157" s="86"/>
      <c r="AO157" s="86"/>
      <c r="AP157" s="86"/>
      <c r="AQ157" s="86"/>
      <c r="AR157" s="86"/>
      <c r="AS157" s="86"/>
      <c r="AT157" s="86"/>
      <c r="AU157" s="86"/>
      <c r="AV157" s="86"/>
      <c r="AW157" s="86"/>
      <c r="AX157" s="86"/>
      <c r="AY157" s="86"/>
      <c r="AZ157" s="86"/>
      <c r="BA157" s="86"/>
      <c r="BB157" s="86"/>
      <c r="BC157" s="86"/>
      <c r="BD157" s="86"/>
      <c r="BE157" s="86"/>
      <c r="BF157" s="86"/>
      <c r="BG157" s="86"/>
      <c r="BH157" s="86"/>
      <c r="BI157" s="86"/>
      <c r="BJ157" s="86"/>
      <c r="BK157" s="86" t="s">
        <v>149</v>
      </c>
    </row>
    <row r="158" spans="1:63" s="92" customFormat="1" x14ac:dyDescent="0.2">
      <c r="A158" s="86">
        <v>155</v>
      </c>
      <c r="B158" s="87" t="s">
        <v>44</v>
      </c>
      <c r="C158" s="86" t="s">
        <v>54</v>
      </c>
      <c r="D158" s="87" t="s">
        <v>262</v>
      </c>
      <c r="E158" s="88">
        <v>22.99262444384723</v>
      </c>
      <c r="F158" s="86">
        <v>1957.5</v>
      </c>
      <c r="G158" s="86">
        <v>2008.7</v>
      </c>
      <c r="H158" s="86" t="s">
        <v>47</v>
      </c>
      <c r="I158" s="86"/>
      <c r="J158" s="86"/>
      <c r="K158" s="86">
        <v>1.1517072113595994</v>
      </c>
      <c r="L158" s="86">
        <v>8.0000000000000002E-3</v>
      </c>
      <c r="M158" s="86">
        <v>143.24718221123624</v>
      </c>
      <c r="N158" s="86">
        <v>8</v>
      </c>
      <c r="O158" s="90"/>
      <c r="P158" s="125">
        <f>K158</f>
        <v>1.1517072113595994</v>
      </c>
      <c r="Q158" s="100">
        <v>81.69</v>
      </c>
      <c r="R158" s="90">
        <v>100</v>
      </c>
      <c r="S158" s="86">
        <v>73.333333333333329</v>
      </c>
      <c r="T158" s="86">
        <v>60.626973387460531</v>
      </c>
      <c r="U158" s="86">
        <f t="shared" si="5"/>
        <v>12.706359945872798</v>
      </c>
      <c r="V158" s="86" t="s">
        <v>151</v>
      </c>
      <c r="W158" s="87"/>
      <c r="X158" s="86" t="s">
        <v>152</v>
      </c>
      <c r="Y158" s="86" t="s">
        <v>248</v>
      </c>
      <c r="Z158" s="86"/>
      <c r="AA158" s="86" t="s">
        <v>249</v>
      </c>
      <c r="AB158" s="87" t="s">
        <v>262</v>
      </c>
      <c r="AC158" s="86" t="s">
        <v>160</v>
      </c>
      <c r="AD158" s="86">
        <v>15</v>
      </c>
      <c r="AE158" s="86" t="s">
        <v>160</v>
      </c>
      <c r="AF158" s="99">
        <f>AG158-AD158</f>
        <v>1993.7</v>
      </c>
      <c r="AG158" s="94">
        <f>G158</f>
        <v>2008.7</v>
      </c>
      <c r="AH158" s="86"/>
      <c r="AI158" s="86"/>
      <c r="AJ158" s="86"/>
      <c r="AK158" s="86"/>
      <c r="AL158" s="124"/>
      <c r="AM158" s="86"/>
      <c r="AN158" s="86"/>
      <c r="AO158" s="86"/>
      <c r="AP158" s="86"/>
      <c r="AQ158" s="86"/>
      <c r="AR158" s="86"/>
      <c r="AS158" s="86"/>
      <c r="AT158" s="86"/>
      <c r="AU158" s="86"/>
      <c r="AV158" s="86"/>
      <c r="AW158" s="86"/>
      <c r="AX158" s="86"/>
      <c r="AY158" s="86"/>
      <c r="AZ158" s="86"/>
      <c r="BA158" s="86"/>
      <c r="BB158" s="86"/>
      <c r="BC158" s="86"/>
      <c r="BD158" s="86"/>
      <c r="BE158" s="86"/>
      <c r="BF158" s="86"/>
      <c r="BG158" s="86"/>
      <c r="BH158" s="86"/>
      <c r="BI158" s="86"/>
      <c r="BJ158" s="86" t="s">
        <v>363</v>
      </c>
      <c r="BK158" s="86" t="s">
        <v>149</v>
      </c>
    </row>
    <row r="159" spans="1:63" s="92" customFormat="1" x14ac:dyDescent="0.2">
      <c r="A159" s="86">
        <v>156</v>
      </c>
      <c r="B159" s="87" t="s">
        <v>44</v>
      </c>
      <c r="C159" s="86" t="s">
        <v>45</v>
      </c>
      <c r="D159" s="87" t="s">
        <v>262</v>
      </c>
      <c r="E159" s="88">
        <v>22.99262444384723</v>
      </c>
      <c r="F159" s="86">
        <v>1957.5</v>
      </c>
      <c r="G159" s="86">
        <v>2008.7</v>
      </c>
      <c r="H159" s="86" t="s">
        <v>47</v>
      </c>
      <c r="I159" s="86"/>
      <c r="J159" s="86"/>
      <c r="K159" s="86">
        <v>1.0467170598807374</v>
      </c>
      <c r="L159" s="86">
        <v>1.3999999999999999E-2</v>
      </c>
      <c r="M159" s="86">
        <v>39.028250824635123</v>
      </c>
      <c r="N159" s="86">
        <v>14</v>
      </c>
      <c r="O159" s="90"/>
      <c r="P159" s="89">
        <f>(K159-K158*(1-R159/100))*100/R159</f>
        <v>1.0445744037281075</v>
      </c>
      <c r="Q159" s="100">
        <v>8.41</v>
      </c>
      <c r="R159" s="90">
        <v>98</v>
      </c>
      <c r="S159" s="86">
        <v>18.333333333333332</v>
      </c>
      <c r="T159" s="86">
        <v>14.528642309427152</v>
      </c>
      <c r="U159" s="86">
        <f t="shared" si="5"/>
        <v>3.8046910239061802</v>
      </c>
      <c r="V159" s="86" t="s">
        <v>151</v>
      </c>
      <c r="W159" s="87"/>
      <c r="X159" s="86" t="s">
        <v>152</v>
      </c>
      <c r="Y159" s="86" t="s">
        <v>248</v>
      </c>
      <c r="Z159" s="86"/>
      <c r="AA159" s="86" t="s">
        <v>249</v>
      </c>
      <c r="AB159" s="87" t="s">
        <v>262</v>
      </c>
      <c r="AC159" s="86" t="s">
        <v>160</v>
      </c>
      <c r="AD159" s="86">
        <v>15</v>
      </c>
      <c r="AE159" s="86" t="s">
        <v>160</v>
      </c>
      <c r="AF159" s="99">
        <f>AG159-AD159</f>
        <v>1993.7</v>
      </c>
      <c r="AG159" s="94">
        <f>G159</f>
        <v>2008.7</v>
      </c>
      <c r="AH159" s="86"/>
      <c r="AI159" s="86"/>
      <c r="AJ159" s="86"/>
      <c r="AK159" s="86"/>
      <c r="AL159" s="129"/>
      <c r="AM159" s="99"/>
      <c r="AN159" s="86"/>
      <c r="AO159" s="86"/>
      <c r="AP159" s="86"/>
      <c r="AQ159" s="86"/>
      <c r="AR159" s="86"/>
      <c r="AS159" s="86"/>
      <c r="AT159" s="86"/>
      <c r="AU159" s="86"/>
      <c r="AV159" s="86"/>
      <c r="AW159" s="86"/>
      <c r="AX159" s="86"/>
      <c r="AY159" s="86"/>
      <c r="AZ159" s="86"/>
      <c r="BA159" s="86"/>
      <c r="BB159" s="86"/>
      <c r="BC159" s="86"/>
      <c r="BD159" s="86"/>
      <c r="BE159" s="86"/>
      <c r="BF159" s="86"/>
      <c r="BG159" s="86"/>
      <c r="BH159" s="86"/>
      <c r="BI159" s="86"/>
      <c r="BJ159" s="86" t="s">
        <v>363</v>
      </c>
      <c r="BK159" s="86" t="s">
        <v>149</v>
      </c>
    </row>
    <row r="160" spans="1:63" s="92" customFormat="1" x14ac:dyDescent="0.2">
      <c r="A160" s="86">
        <v>157</v>
      </c>
      <c r="B160" s="87" t="s">
        <v>44</v>
      </c>
      <c r="C160" s="86" t="s">
        <v>54</v>
      </c>
      <c r="D160" s="87" t="s">
        <v>263</v>
      </c>
      <c r="E160" s="87" t="s">
        <v>59</v>
      </c>
      <c r="F160" s="130">
        <v>1957.4</v>
      </c>
      <c r="G160" s="130">
        <v>2009.2</v>
      </c>
      <c r="H160" s="130" t="s">
        <v>69</v>
      </c>
      <c r="I160" s="86"/>
      <c r="J160" s="86"/>
      <c r="K160" s="86">
        <v>1.1539844173262122</v>
      </c>
      <c r="L160" s="86">
        <v>8.0000000000000002E-3</v>
      </c>
      <c r="M160" s="86">
        <v>145.50766063749455</v>
      </c>
      <c r="N160" s="86">
        <v>8</v>
      </c>
      <c r="O160" s="90"/>
      <c r="P160" s="125">
        <f>K160</f>
        <v>1.1539844173262122</v>
      </c>
      <c r="Q160" s="86">
        <v>52.9</v>
      </c>
      <c r="R160" s="90">
        <v>100</v>
      </c>
      <c r="S160" s="86">
        <v>135.66666666666666</v>
      </c>
      <c r="T160" s="86">
        <v>75.557059088858807</v>
      </c>
      <c r="U160" s="86">
        <f t="shared" si="5"/>
        <v>60.10960757780785</v>
      </c>
      <c r="V160" s="86" t="s">
        <v>151</v>
      </c>
      <c r="W160" s="87"/>
      <c r="X160" s="86" t="s">
        <v>264</v>
      </c>
      <c r="Y160" s="93" t="s">
        <v>265</v>
      </c>
      <c r="Z160" s="93" t="s">
        <v>265</v>
      </c>
      <c r="AA160" s="86" t="s">
        <v>51</v>
      </c>
      <c r="AB160" s="87" t="s">
        <v>263</v>
      </c>
      <c r="AC160" s="86" t="s">
        <v>160</v>
      </c>
      <c r="AD160" s="86">
        <v>15</v>
      </c>
      <c r="AE160" s="86" t="s">
        <v>160</v>
      </c>
      <c r="AF160" s="99">
        <f>AG160-AD160</f>
        <v>1994.2</v>
      </c>
      <c r="AG160" s="94">
        <f>G160</f>
        <v>2009.2</v>
      </c>
      <c r="AH160" s="99">
        <f>AK160-AJ160</f>
        <v>32</v>
      </c>
      <c r="AI160" s="86" t="s">
        <v>160</v>
      </c>
      <c r="AJ160" s="99">
        <f>AK160-32</f>
        <v>1977.2</v>
      </c>
      <c r="AK160" s="94">
        <f>G160</f>
        <v>2009.2</v>
      </c>
      <c r="AL160" s="124"/>
      <c r="AM160" s="86"/>
      <c r="AN160" s="86"/>
      <c r="AO160" s="86"/>
      <c r="AP160" s="86"/>
      <c r="AQ160" s="86"/>
      <c r="AR160" s="86"/>
      <c r="AS160" s="86"/>
      <c r="AT160" s="86"/>
      <c r="AU160" s="86"/>
      <c r="AV160" s="86"/>
      <c r="AW160" s="86"/>
      <c r="AX160" s="86"/>
      <c r="AY160" s="86"/>
      <c r="AZ160" s="86" t="s">
        <v>44</v>
      </c>
      <c r="BA160" s="86">
        <f>BB160-22</f>
        <v>1987.2</v>
      </c>
      <c r="BB160" s="86">
        <v>2009.2</v>
      </c>
      <c r="BC160" s="86" t="s">
        <v>44</v>
      </c>
      <c r="BD160" s="86">
        <f>BE160-32</f>
        <v>1977.2</v>
      </c>
      <c r="BE160" s="86">
        <f>G160</f>
        <v>2009.2</v>
      </c>
      <c r="BF160" s="86"/>
      <c r="BG160" s="86"/>
      <c r="BH160" s="86"/>
      <c r="BI160" s="86"/>
      <c r="BJ160" s="86" t="s">
        <v>266</v>
      </c>
      <c r="BK160" s="86" t="s">
        <v>149</v>
      </c>
    </row>
    <row r="161" spans="1:63" s="92" customFormat="1" x14ac:dyDescent="0.2">
      <c r="A161" s="86">
        <v>158</v>
      </c>
      <c r="B161" s="87" t="s">
        <v>44</v>
      </c>
      <c r="C161" s="86" t="s">
        <v>54</v>
      </c>
      <c r="D161" s="87" t="s">
        <v>267</v>
      </c>
      <c r="E161" s="88">
        <v>26.566839753652939</v>
      </c>
      <c r="F161" s="130">
        <v>1966.3</v>
      </c>
      <c r="G161" s="130">
        <v>2009.8</v>
      </c>
      <c r="H161" s="130" t="s">
        <v>47</v>
      </c>
      <c r="I161" s="86"/>
      <c r="J161" s="86"/>
      <c r="K161" s="86">
        <v>1.4765541732586895</v>
      </c>
      <c r="L161" s="86">
        <v>2.8799999999999999E-2</v>
      </c>
      <c r="M161" s="86">
        <v>465.70793454307079</v>
      </c>
      <c r="N161" s="86">
        <v>28.8</v>
      </c>
      <c r="O161" s="90"/>
      <c r="P161" s="125">
        <f>K161</f>
        <v>1.4765541732586895</v>
      </c>
      <c r="Q161" s="100">
        <v>99.5</v>
      </c>
      <c r="R161" s="90">
        <v>100</v>
      </c>
      <c r="S161" s="86">
        <v>103.11666666666667</v>
      </c>
      <c r="T161" s="86">
        <v>87.7807848443843</v>
      </c>
      <c r="U161" s="86">
        <f t="shared" si="5"/>
        <v>15.335881822282374</v>
      </c>
      <c r="V161" s="86" t="s">
        <v>151</v>
      </c>
      <c r="W161" s="131"/>
      <c r="X161" s="86" t="s">
        <v>211</v>
      </c>
      <c r="Y161" s="86" t="s">
        <v>248</v>
      </c>
      <c r="Z161" s="86"/>
      <c r="AA161" s="86" t="s">
        <v>249</v>
      </c>
      <c r="AB161" s="87" t="s">
        <v>267</v>
      </c>
      <c r="AC161" s="86" t="s">
        <v>160</v>
      </c>
      <c r="AD161" s="86">
        <v>8</v>
      </c>
      <c r="AE161" s="86" t="s">
        <v>160</v>
      </c>
      <c r="AF161" s="99">
        <f>AG161-AD161</f>
        <v>2001.8</v>
      </c>
      <c r="AG161" s="94">
        <f>G161</f>
        <v>2009.8</v>
      </c>
      <c r="AH161" s="86"/>
      <c r="AI161" s="86"/>
      <c r="AJ161" s="86"/>
      <c r="AK161" s="86"/>
      <c r="AL161" s="124" t="s">
        <v>255</v>
      </c>
      <c r="AM161" s="86"/>
      <c r="AN161" s="86"/>
      <c r="AO161" s="86"/>
      <c r="AP161" s="86"/>
      <c r="AQ161" s="86"/>
      <c r="AR161" s="86"/>
      <c r="AS161" s="86"/>
      <c r="AT161" s="86"/>
      <c r="AU161" s="86"/>
      <c r="AV161" s="86"/>
      <c r="AW161" s="86" t="s">
        <v>44</v>
      </c>
      <c r="AX161" s="86">
        <v>2005.6</v>
      </c>
      <c r="AY161" s="86">
        <v>2007.1</v>
      </c>
      <c r="AZ161" s="86"/>
      <c r="BA161" s="86"/>
      <c r="BB161" s="86"/>
      <c r="BC161" s="86"/>
      <c r="BD161" s="86"/>
      <c r="BE161" s="86"/>
      <c r="BF161" s="86" t="s">
        <v>182</v>
      </c>
      <c r="BG161" s="86">
        <v>2005.6</v>
      </c>
      <c r="BH161" s="86">
        <v>2007.1</v>
      </c>
      <c r="BI161" s="86">
        <f>BH161-BG161</f>
        <v>1.5</v>
      </c>
      <c r="BJ161" s="86" t="s">
        <v>364</v>
      </c>
      <c r="BK161" s="86" t="s">
        <v>149</v>
      </c>
    </row>
    <row r="162" spans="1:63" s="92" customFormat="1" x14ac:dyDescent="0.2">
      <c r="A162" s="86">
        <v>159</v>
      </c>
      <c r="B162" s="87" t="s">
        <v>44</v>
      </c>
      <c r="C162" s="86" t="s">
        <v>54</v>
      </c>
      <c r="D162" s="87" t="s">
        <v>268</v>
      </c>
      <c r="E162" s="88">
        <v>25.826446280991735</v>
      </c>
      <c r="F162" s="86">
        <v>1981.3</v>
      </c>
      <c r="G162" s="86">
        <v>2009.8</v>
      </c>
      <c r="H162" s="86" t="s">
        <v>47</v>
      </c>
      <c r="I162" s="86"/>
      <c r="J162" s="86"/>
      <c r="K162" s="86">
        <v>1.2199789944378316</v>
      </c>
      <c r="L162" s="86">
        <v>8.0000000000000002E-3</v>
      </c>
      <c r="M162" s="86">
        <v>211.01746519538577</v>
      </c>
      <c r="N162" s="86">
        <v>8</v>
      </c>
      <c r="O162" s="90"/>
      <c r="P162" s="125">
        <f>K162</f>
        <v>1.2199789944378316</v>
      </c>
      <c r="Q162" s="100">
        <v>13.9</v>
      </c>
      <c r="R162" s="90">
        <v>100</v>
      </c>
      <c r="S162" s="86">
        <v>95</v>
      </c>
      <c r="T162" s="86">
        <v>72.038791159224189</v>
      </c>
      <c r="U162" s="86">
        <f t="shared" si="5"/>
        <v>22.961208840775811</v>
      </c>
      <c r="V162" s="86" t="s">
        <v>151</v>
      </c>
      <c r="W162" s="131"/>
      <c r="X162" s="86" t="s">
        <v>257</v>
      </c>
      <c r="Y162" s="86" t="s">
        <v>253</v>
      </c>
      <c r="Z162" s="86" t="s">
        <v>253</v>
      </c>
      <c r="AA162" s="86"/>
      <c r="AB162" s="87" t="s">
        <v>268</v>
      </c>
      <c r="AC162" s="86" t="s">
        <v>160</v>
      </c>
      <c r="AD162" s="86"/>
      <c r="AE162" s="86"/>
      <c r="AF162" s="86"/>
      <c r="AG162" s="86"/>
      <c r="AH162" s="86">
        <v>2</v>
      </c>
      <c r="AI162" s="86" t="s">
        <v>160</v>
      </c>
      <c r="AJ162" s="94">
        <f>F162+21</f>
        <v>2002.3</v>
      </c>
      <c r="AK162" s="94">
        <f t="shared" ref="AK162:AK169" si="8">G162</f>
        <v>2009.8</v>
      </c>
      <c r="AL162" s="124" t="s">
        <v>255</v>
      </c>
      <c r="AM162" s="86"/>
      <c r="AN162" s="86" t="s">
        <v>44</v>
      </c>
      <c r="AO162" s="86">
        <v>2008.8</v>
      </c>
      <c r="AP162" s="86">
        <v>2009.8</v>
      </c>
      <c r="AQ162" s="86"/>
      <c r="AR162" s="86"/>
      <c r="AS162" s="86"/>
      <c r="AT162" s="86"/>
      <c r="AU162" s="86"/>
      <c r="AV162" s="86"/>
      <c r="AW162" s="86"/>
      <c r="AX162" s="86"/>
      <c r="AY162" s="86"/>
      <c r="AZ162" s="86"/>
      <c r="BA162" s="86"/>
      <c r="BB162" s="86"/>
      <c r="BC162" s="86"/>
      <c r="BD162" s="86"/>
      <c r="BE162" s="86"/>
      <c r="BF162" s="86" t="s">
        <v>182</v>
      </c>
      <c r="BG162" s="86">
        <v>2008.8</v>
      </c>
      <c r="BH162" s="86">
        <f>G162</f>
        <v>2009.8</v>
      </c>
      <c r="BI162" s="86">
        <f>BH162-BG162</f>
        <v>1</v>
      </c>
      <c r="BJ162" s="86"/>
      <c r="BK162" s="86" t="s">
        <v>149</v>
      </c>
    </row>
    <row r="163" spans="1:63" s="92" customFormat="1" x14ac:dyDescent="0.2">
      <c r="A163" s="86">
        <v>160</v>
      </c>
      <c r="B163" s="87" t="s">
        <v>44</v>
      </c>
      <c r="C163" s="132" t="s">
        <v>45</v>
      </c>
      <c r="D163" s="133" t="s">
        <v>268</v>
      </c>
      <c r="E163" s="88">
        <v>25.826446280991735</v>
      </c>
      <c r="F163" s="86">
        <v>1981.3</v>
      </c>
      <c r="G163" s="86">
        <v>2009.8</v>
      </c>
      <c r="H163" s="86" t="s">
        <v>47</v>
      </c>
      <c r="I163" s="86"/>
      <c r="J163" s="86"/>
      <c r="K163" s="86">
        <v>1.2531991026064135</v>
      </c>
      <c r="L163" s="86">
        <v>1.6E-2</v>
      </c>
      <c r="M163" s="86">
        <v>243.99355033394232</v>
      </c>
      <c r="N163" s="86">
        <v>16</v>
      </c>
      <c r="O163" s="90"/>
      <c r="P163" s="89">
        <f>(K163-K162*(1-R163/100))*100/R163</f>
        <v>1.2542265286322458</v>
      </c>
      <c r="Q163" s="100">
        <v>100.9</v>
      </c>
      <c r="R163" s="90">
        <v>97</v>
      </c>
      <c r="S163" s="86">
        <v>22.666666666666668</v>
      </c>
      <c r="T163" s="86">
        <v>15.024808299503833</v>
      </c>
      <c r="U163" s="86">
        <f t="shared" si="5"/>
        <v>7.6418583671628344</v>
      </c>
      <c r="V163" s="86" t="s">
        <v>151</v>
      </c>
      <c r="W163" s="133"/>
      <c r="X163" s="86" t="s">
        <v>257</v>
      </c>
      <c r="Y163" s="86" t="s">
        <v>253</v>
      </c>
      <c r="Z163" s="86" t="s">
        <v>253</v>
      </c>
      <c r="AA163" s="86"/>
      <c r="AB163" s="133" t="s">
        <v>268</v>
      </c>
      <c r="AC163" s="86" t="s">
        <v>160</v>
      </c>
      <c r="AD163" s="86"/>
      <c r="AE163" s="86"/>
      <c r="AF163" s="86"/>
      <c r="AG163" s="86"/>
      <c r="AH163" s="86">
        <v>2</v>
      </c>
      <c r="AI163" s="86" t="s">
        <v>160</v>
      </c>
      <c r="AJ163" s="94">
        <f>F163+21</f>
        <v>2002.3</v>
      </c>
      <c r="AK163" s="94">
        <f t="shared" si="8"/>
        <v>2009.8</v>
      </c>
      <c r="AL163" s="124" t="s">
        <v>255</v>
      </c>
      <c r="AM163" s="86"/>
      <c r="AN163" s="86" t="s">
        <v>44</v>
      </c>
      <c r="AO163" s="86">
        <v>2008.8</v>
      </c>
      <c r="AP163" s="86">
        <v>2009.8</v>
      </c>
      <c r="AQ163" s="86"/>
      <c r="AR163" s="86"/>
      <c r="AS163" s="86"/>
      <c r="AT163" s="86"/>
      <c r="AU163" s="86"/>
      <c r="AV163" s="86"/>
      <c r="AW163" s="86"/>
      <c r="AX163" s="86"/>
      <c r="AY163" s="86"/>
      <c r="AZ163" s="86"/>
      <c r="BA163" s="86"/>
      <c r="BB163" s="86"/>
      <c r="BC163" s="86"/>
      <c r="BD163" s="86"/>
      <c r="BE163" s="86"/>
      <c r="BF163" s="86" t="s">
        <v>182</v>
      </c>
      <c r="BG163" s="86">
        <v>2008.8</v>
      </c>
      <c r="BH163" s="86">
        <f>G163</f>
        <v>2009.8</v>
      </c>
      <c r="BI163" s="86">
        <f>BH163-BG163</f>
        <v>1</v>
      </c>
      <c r="BJ163" s="86"/>
      <c r="BK163" s="86" t="s">
        <v>149</v>
      </c>
    </row>
    <row r="164" spans="1:63" s="92" customFormat="1" x14ac:dyDescent="0.2">
      <c r="A164" s="86">
        <v>161</v>
      </c>
      <c r="B164" s="93" t="s">
        <v>63</v>
      </c>
      <c r="C164" s="91" t="s">
        <v>54</v>
      </c>
      <c r="D164" s="91" t="s">
        <v>269</v>
      </c>
      <c r="E164" s="88">
        <v>26.813590449954088</v>
      </c>
      <c r="F164" s="91">
        <v>1941.4</v>
      </c>
      <c r="G164" s="91">
        <v>2010.2</v>
      </c>
      <c r="H164" s="86" t="s">
        <v>69</v>
      </c>
      <c r="I164" s="91">
        <v>2</v>
      </c>
      <c r="J164" s="91">
        <v>2.3199999999999998</v>
      </c>
      <c r="K164" s="96">
        <v>1.0600614845313585</v>
      </c>
      <c r="L164" s="96">
        <v>1.24E-2</v>
      </c>
      <c r="M164" s="88">
        <v>52.013580639466817</v>
      </c>
      <c r="N164" s="97">
        <v>12.4</v>
      </c>
      <c r="O164" s="90"/>
      <c r="P164" s="125">
        <f>K164</f>
        <v>1.0600614845313585</v>
      </c>
      <c r="Q164" s="91"/>
      <c r="R164" s="90">
        <v>100</v>
      </c>
      <c r="S164" s="94">
        <v>52.183333333333337</v>
      </c>
      <c r="T164" s="88">
        <v>42.900315741993687</v>
      </c>
      <c r="U164" s="86">
        <f t="shared" si="5"/>
        <v>9.2830175913396502</v>
      </c>
      <c r="V164" s="86" t="s">
        <v>151</v>
      </c>
      <c r="W164" s="91"/>
      <c r="X164" s="86" t="s">
        <v>152</v>
      </c>
      <c r="Y164" s="86" t="s">
        <v>166</v>
      </c>
      <c r="Z164" s="86" t="s">
        <v>166</v>
      </c>
      <c r="AA164" s="86"/>
      <c r="AB164" s="91" t="s">
        <v>269</v>
      </c>
      <c r="AC164" s="86" t="s">
        <v>160</v>
      </c>
      <c r="AD164" s="86"/>
      <c r="AE164" s="86"/>
      <c r="AF164" s="86"/>
      <c r="AG164" s="86"/>
      <c r="AH164" s="99">
        <v>5</v>
      </c>
      <c r="AI164" s="86" t="s">
        <v>160</v>
      </c>
      <c r="AJ164" s="94">
        <f>AK164-AH164</f>
        <v>2005.2</v>
      </c>
      <c r="AK164" s="94">
        <f t="shared" si="8"/>
        <v>2010.2</v>
      </c>
      <c r="AL164" s="124" t="s">
        <v>255</v>
      </c>
      <c r="AM164" s="86"/>
      <c r="AN164" s="86" t="s">
        <v>44</v>
      </c>
      <c r="AO164" s="86">
        <v>2005.8</v>
      </c>
      <c r="AP164" s="86">
        <v>2007.8</v>
      </c>
      <c r="AQ164" s="86" t="s">
        <v>44</v>
      </c>
      <c r="AR164" s="86">
        <v>2006.5</v>
      </c>
      <c r="AS164" s="86">
        <v>2007.5</v>
      </c>
      <c r="AT164" s="86"/>
      <c r="AU164" s="86"/>
      <c r="AV164" s="86"/>
      <c r="AW164" s="86" t="s">
        <v>44</v>
      </c>
      <c r="AX164" s="86">
        <v>2008</v>
      </c>
      <c r="AY164" s="86">
        <v>2008.8</v>
      </c>
      <c r="AZ164" s="86"/>
      <c r="BA164" s="86"/>
      <c r="BB164" s="86"/>
      <c r="BC164" s="86" t="s">
        <v>44</v>
      </c>
      <c r="BD164" s="86">
        <v>2006.9</v>
      </c>
      <c r="BE164" s="86">
        <v>2009.8</v>
      </c>
      <c r="BF164" s="86" t="s">
        <v>182</v>
      </c>
      <c r="BG164" s="86">
        <v>2005.8</v>
      </c>
      <c r="BH164" s="86">
        <f>G164</f>
        <v>2010.2</v>
      </c>
      <c r="BI164" s="86">
        <f>BH164-BG164</f>
        <v>4.4000000000000909</v>
      </c>
      <c r="BJ164" s="86" t="s">
        <v>389</v>
      </c>
      <c r="BK164" s="86" t="s">
        <v>149</v>
      </c>
    </row>
    <row r="165" spans="1:63" s="92" customFormat="1" x14ac:dyDescent="0.2">
      <c r="A165" s="86">
        <v>162</v>
      </c>
      <c r="B165" s="93" t="s">
        <v>63</v>
      </c>
      <c r="C165" s="91" t="s">
        <v>45</v>
      </c>
      <c r="D165" s="91" t="s">
        <v>269</v>
      </c>
      <c r="E165" s="88">
        <v>26.813590449954088</v>
      </c>
      <c r="F165" s="91">
        <v>1941.4</v>
      </c>
      <c r="G165" s="91">
        <v>2010.2</v>
      </c>
      <c r="H165" s="86" t="s">
        <v>69</v>
      </c>
      <c r="I165" s="91">
        <v>1.93</v>
      </c>
      <c r="J165" s="91">
        <v>2.2000000000000002</v>
      </c>
      <c r="K165" s="96">
        <v>0.9545124283084877</v>
      </c>
      <c r="L165" s="96">
        <v>1.8799999999999997E-2</v>
      </c>
      <c r="M165" s="88">
        <v>-52.734155402681779</v>
      </c>
      <c r="N165" s="97">
        <v>18.799999999999997</v>
      </c>
      <c r="O165" s="90"/>
      <c r="P165" s="89">
        <f>(K165-K164*(1-96/100))*100/96</f>
        <v>0.95011455096586805</v>
      </c>
      <c r="Q165" s="91"/>
      <c r="R165" s="113" t="s">
        <v>59</v>
      </c>
      <c r="S165" s="94">
        <v>12.65</v>
      </c>
      <c r="T165" s="88">
        <v>11.145692377086151</v>
      </c>
      <c r="U165" s="86">
        <f t="shared" si="5"/>
        <v>1.5043076229138492</v>
      </c>
      <c r="V165" s="86" t="s">
        <v>151</v>
      </c>
      <c r="W165" s="91"/>
      <c r="X165" s="86" t="s">
        <v>152</v>
      </c>
      <c r="Y165" s="86" t="s">
        <v>166</v>
      </c>
      <c r="Z165" s="86" t="s">
        <v>166</v>
      </c>
      <c r="AA165" s="86"/>
      <c r="AB165" s="91" t="s">
        <v>269</v>
      </c>
      <c r="AC165" s="86" t="s">
        <v>160</v>
      </c>
      <c r="AD165" s="86"/>
      <c r="AE165" s="86"/>
      <c r="AF165" s="86"/>
      <c r="AG165" s="86"/>
      <c r="AH165" s="99">
        <v>5</v>
      </c>
      <c r="AI165" s="86" t="s">
        <v>160</v>
      </c>
      <c r="AJ165" s="94">
        <f>AK165-AH165</f>
        <v>2005.2</v>
      </c>
      <c r="AK165" s="94">
        <f t="shared" si="8"/>
        <v>2010.2</v>
      </c>
      <c r="AL165" s="124" t="s">
        <v>255</v>
      </c>
      <c r="AM165" s="86"/>
      <c r="AN165" s="86" t="s">
        <v>44</v>
      </c>
      <c r="AO165" s="86">
        <v>2005.8</v>
      </c>
      <c r="AP165" s="86">
        <v>2007.8</v>
      </c>
      <c r="AQ165" s="86" t="s">
        <v>44</v>
      </c>
      <c r="AR165" s="86">
        <v>2006.5</v>
      </c>
      <c r="AS165" s="86">
        <v>2007.5</v>
      </c>
      <c r="AT165" s="86"/>
      <c r="AU165" s="86"/>
      <c r="AV165" s="86"/>
      <c r="AW165" s="86" t="s">
        <v>44</v>
      </c>
      <c r="AX165" s="86">
        <v>2008</v>
      </c>
      <c r="AY165" s="86">
        <v>2008.8</v>
      </c>
      <c r="AZ165" s="86"/>
      <c r="BA165" s="86"/>
      <c r="BB165" s="86"/>
      <c r="BC165" s="86" t="s">
        <v>44</v>
      </c>
      <c r="BD165" s="86">
        <v>2006.9</v>
      </c>
      <c r="BE165" s="86">
        <v>2009.8</v>
      </c>
      <c r="BF165" s="86" t="s">
        <v>182</v>
      </c>
      <c r="BG165" s="86">
        <v>2005.8</v>
      </c>
      <c r="BH165" s="86">
        <f>G165</f>
        <v>2010.2</v>
      </c>
      <c r="BI165" s="86">
        <f>BH165-BG165</f>
        <v>4.4000000000000909</v>
      </c>
      <c r="BJ165" s="86" t="s">
        <v>389</v>
      </c>
      <c r="BK165" s="86" t="s">
        <v>149</v>
      </c>
    </row>
    <row r="166" spans="1:63" s="92" customFormat="1" x14ac:dyDescent="0.2">
      <c r="A166" s="86">
        <v>163</v>
      </c>
      <c r="B166" s="86" t="s">
        <v>63</v>
      </c>
      <c r="C166" s="86" t="s">
        <v>54</v>
      </c>
      <c r="D166" s="91" t="s">
        <v>270</v>
      </c>
      <c r="E166" s="88">
        <v>21.952479338842977</v>
      </c>
      <c r="F166" s="86">
        <v>1946.9</v>
      </c>
      <c r="G166" s="86">
        <v>2010.2</v>
      </c>
      <c r="H166" s="86" t="s">
        <v>69</v>
      </c>
      <c r="I166" s="86">
        <v>2</v>
      </c>
      <c r="J166" s="86">
        <v>2.3199999999999998</v>
      </c>
      <c r="K166" s="96">
        <v>1.0779175895801871</v>
      </c>
      <c r="L166" s="96">
        <v>1.77E-2</v>
      </c>
      <c r="M166" s="88">
        <v>69.734123535143183</v>
      </c>
      <c r="N166" s="97">
        <v>17.7</v>
      </c>
      <c r="O166" s="90"/>
      <c r="P166" s="125">
        <f>K166</f>
        <v>1.0779175895801871</v>
      </c>
      <c r="Q166" s="91">
        <v>54</v>
      </c>
      <c r="R166" s="90">
        <v>100</v>
      </c>
      <c r="S166" s="86">
        <v>52.85</v>
      </c>
      <c r="T166" s="88">
        <v>50.027063599458728</v>
      </c>
      <c r="U166" s="86">
        <f t="shared" si="5"/>
        <v>2.8229364005412734</v>
      </c>
      <c r="V166" s="86" t="s">
        <v>151</v>
      </c>
      <c r="W166" s="91"/>
      <c r="X166" s="86" t="s">
        <v>271</v>
      </c>
      <c r="Y166" s="86" t="s">
        <v>253</v>
      </c>
      <c r="Z166" s="86" t="s">
        <v>253</v>
      </c>
      <c r="AA166" s="86"/>
      <c r="AB166" s="91" t="s">
        <v>270</v>
      </c>
      <c r="AC166" s="86" t="s">
        <v>160</v>
      </c>
      <c r="AD166" s="86"/>
      <c r="AE166" s="86"/>
      <c r="AF166" s="86"/>
      <c r="AG166" s="86"/>
      <c r="AH166" s="99">
        <v>1</v>
      </c>
      <c r="AI166" s="86" t="s">
        <v>160</v>
      </c>
      <c r="AJ166" s="94">
        <f>F166+62</f>
        <v>2008.9</v>
      </c>
      <c r="AK166" s="94">
        <f t="shared" si="8"/>
        <v>2010.2</v>
      </c>
      <c r="AL166" s="86" t="s">
        <v>255</v>
      </c>
      <c r="AM166" s="86"/>
      <c r="AN166" s="86" t="s">
        <v>44</v>
      </c>
      <c r="AO166" s="86">
        <v>2009.2</v>
      </c>
      <c r="AP166" s="86"/>
      <c r="AQ166" s="86"/>
      <c r="AR166" s="86"/>
      <c r="AS166" s="86"/>
      <c r="AT166" s="86"/>
      <c r="AU166" s="86"/>
      <c r="AV166" s="86"/>
      <c r="AW166" s="86" t="s">
        <v>44</v>
      </c>
      <c r="AX166" s="86">
        <v>2009.2</v>
      </c>
      <c r="AY166" s="86"/>
      <c r="AZ166" s="86"/>
      <c r="BA166" s="86"/>
      <c r="BB166" s="86"/>
      <c r="BC166" s="86" t="s">
        <v>44</v>
      </c>
      <c r="BD166" s="86">
        <v>2009.3</v>
      </c>
      <c r="BE166" s="86">
        <f>G166</f>
        <v>2010.2</v>
      </c>
      <c r="BF166" s="86" t="s">
        <v>182</v>
      </c>
      <c r="BG166" s="86">
        <v>2009.2</v>
      </c>
      <c r="BH166" s="86" t="s">
        <v>272</v>
      </c>
      <c r="BI166" s="86"/>
      <c r="BJ166" s="86"/>
      <c r="BK166" s="86" t="s">
        <v>149</v>
      </c>
    </row>
    <row r="167" spans="1:63" s="92" customFormat="1" x14ac:dyDescent="0.2">
      <c r="A167" s="86">
        <v>164</v>
      </c>
      <c r="B167" s="86" t="s">
        <v>63</v>
      </c>
      <c r="C167" s="86" t="s">
        <v>45</v>
      </c>
      <c r="D167" s="91" t="s">
        <v>270</v>
      </c>
      <c r="E167" s="88">
        <v>21.952479338842977</v>
      </c>
      <c r="F167" s="86">
        <v>1946.9</v>
      </c>
      <c r="G167" s="86">
        <v>2010.2</v>
      </c>
      <c r="H167" s="86" t="s">
        <v>69</v>
      </c>
      <c r="I167" s="86">
        <v>1.94</v>
      </c>
      <c r="J167" s="86">
        <v>2.15</v>
      </c>
      <c r="K167" s="96">
        <v>1.040228037566906</v>
      </c>
      <c r="L167" s="96">
        <v>1.7600000000000001E-2</v>
      </c>
      <c r="M167" s="88">
        <v>32.330707653357884</v>
      </c>
      <c r="N167" s="97">
        <v>17.600000000000001</v>
      </c>
      <c r="O167" s="90"/>
      <c r="P167" s="89">
        <f>(K167-K166*(1-R167/100))*100/R167</f>
        <v>1.0378223214809517</v>
      </c>
      <c r="Q167" s="91">
        <v>10</v>
      </c>
      <c r="R167" s="134">
        <v>94</v>
      </c>
      <c r="S167" s="86">
        <v>20.033333333333335</v>
      </c>
      <c r="T167" s="88">
        <v>19.174560216508798</v>
      </c>
      <c r="U167" s="86">
        <f t="shared" si="5"/>
        <v>0.85877311682453694</v>
      </c>
      <c r="V167" s="86" t="s">
        <v>151</v>
      </c>
      <c r="W167" s="91"/>
      <c r="X167" s="86" t="s">
        <v>271</v>
      </c>
      <c r="Y167" s="86" t="s">
        <v>253</v>
      </c>
      <c r="Z167" s="86" t="s">
        <v>253</v>
      </c>
      <c r="AA167" s="86"/>
      <c r="AB167" s="91" t="s">
        <v>270</v>
      </c>
      <c r="AC167" s="86" t="s">
        <v>160</v>
      </c>
      <c r="AD167" s="86"/>
      <c r="AE167" s="86"/>
      <c r="AF167" s="86"/>
      <c r="AG167" s="86"/>
      <c r="AH167" s="99">
        <v>1</v>
      </c>
      <c r="AI167" s="86" t="s">
        <v>160</v>
      </c>
      <c r="AJ167" s="94">
        <f>F167+62</f>
        <v>2008.9</v>
      </c>
      <c r="AK167" s="94">
        <f t="shared" si="8"/>
        <v>2010.2</v>
      </c>
      <c r="AL167" s="86" t="s">
        <v>255</v>
      </c>
      <c r="AM167" s="86"/>
      <c r="AN167" s="86" t="s">
        <v>44</v>
      </c>
      <c r="AO167" s="86">
        <v>2009.2</v>
      </c>
      <c r="AP167" s="86"/>
      <c r="AQ167" s="86"/>
      <c r="AR167" s="86"/>
      <c r="AS167" s="86"/>
      <c r="AT167" s="86"/>
      <c r="AU167" s="86"/>
      <c r="AV167" s="86"/>
      <c r="AW167" s="86" t="s">
        <v>44</v>
      </c>
      <c r="AX167" s="86">
        <v>2009.2</v>
      </c>
      <c r="AY167" s="86"/>
      <c r="AZ167" s="86"/>
      <c r="BA167" s="86"/>
      <c r="BB167" s="86"/>
      <c r="BC167" s="86" t="s">
        <v>44</v>
      </c>
      <c r="BD167" s="86">
        <v>2009.3</v>
      </c>
      <c r="BE167" s="86">
        <f>G167</f>
        <v>2010.2</v>
      </c>
      <c r="BF167" s="86" t="s">
        <v>182</v>
      </c>
      <c r="BG167" s="86">
        <v>2009.2</v>
      </c>
      <c r="BH167" s="86" t="s">
        <v>272</v>
      </c>
      <c r="BI167" s="86"/>
      <c r="BJ167" s="86"/>
      <c r="BK167" s="86" t="s">
        <v>149</v>
      </c>
    </row>
    <row r="168" spans="1:63" s="92" customFormat="1" x14ac:dyDescent="0.2">
      <c r="A168" s="86">
        <v>165</v>
      </c>
      <c r="B168" s="86" t="s">
        <v>63</v>
      </c>
      <c r="C168" s="86" t="s">
        <v>54</v>
      </c>
      <c r="D168" s="91" t="s">
        <v>273</v>
      </c>
      <c r="E168" s="88">
        <v>32.462195923734384</v>
      </c>
      <c r="F168" s="86">
        <v>1975.5</v>
      </c>
      <c r="G168" s="86">
        <v>2010.2</v>
      </c>
      <c r="H168" s="86" t="s">
        <v>69</v>
      </c>
      <c r="I168" s="86">
        <v>2</v>
      </c>
      <c r="J168" s="86">
        <v>2.2999999999999998</v>
      </c>
      <c r="K168" s="96">
        <v>1.2841743304553781</v>
      </c>
      <c r="L168" s="96">
        <v>2.3100000000000002E-2</v>
      </c>
      <c r="M168" s="88">
        <v>274.42497936324941</v>
      </c>
      <c r="N168" s="97">
        <v>23.1</v>
      </c>
      <c r="O168" s="90"/>
      <c r="P168" s="125">
        <f>K168</f>
        <v>1.2841743304553781</v>
      </c>
      <c r="Q168" s="91">
        <v>84</v>
      </c>
      <c r="R168" s="90">
        <v>100</v>
      </c>
      <c r="S168" s="86">
        <v>51.433333333333337</v>
      </c>
      <c r="T168" s="88">
        <v>43.667117726657651</v>
      </c>
      <c r="U168" s="86">
        <f t="shared" si="5"/>
        <v>7.7662156066756864</v>
      </c>
      <c r="V168" s="86" t="s">
        <v>151</v>
      </c>
      <c r="W168" s="91"/>
      <c r="X168" s="86" t="s">
        <v>152</v>
      </c>
      <c r="Y168" s="86" t="s">
        <v>253</v>
      </c>
      <c r="Z168" s="86" t="s">
        <v>253</v>
      </c>
      <c r="AA168" s="86"/>
      <c r="AB168" s="91" t="s">
        <v>273</v>
      </c>
      <c r="AC168" s="86" t="s">
        <v>160</v>
      </c>
      <c r="AD168" s="86"/>
      <c r="AE168" s="86"/>
      <c r="AF168" s="86"/>
      <c r="AG168" s="86"/>
      <c r="AH168" s="86">
        <v>2.5</v>
      </c>
      <c r="AI168" s="86" t="s">
        <v>160</v>
      </c>
      <c r="AJ168" s="94">
        <f>F168+15</f>
        <v>1990.5</v>
      </c>
      <c r="AK168" s="94">
        <f t="shared" si="8"/>
        <v>2010.2</v>
      </c>
      <c r="AL168" s="86" t="s">
        <v>255</v>
      </c>
      <c r="AM168" s="86"/>
      <c r="AN168" s="86" t="s">
        <v>44</v>
      </c>
      <c r="AO168" s="86">
        <v>2005.8</v>
      </c>
      <c r="AP168" s="86">
        <v>2010.2</v>
      </c>
      <c r="AQ168" s="86" t="s">
        <v>44</v>
      </c>
      <c r="AR168" s="86">
        <v>2009</v>
      </c>
      <c r="AS168" s="86">
        <v>2009.6</v>
      </c>
      <c r="AT168" s="86"/>
      <c r="AU168" s="86"/>
      <c r="AV168" s="86"/>
      <c r="AW168" s="86" t="s">
        <v>44</v>
      </c>
      <c r="AX168" s="86">
        <v>2007.1</v>
      </c>
      <c r="AY168" s="86"/>
      <c r="AZ168" s="86"/>
      <c r="BA168" s="86"/>
      <c r="BB168" s="86"/>
      <c r="BC168" s="86"/>
      <c r="BD168" s="86"/>
      <c r="BE168" s="86"/>
      <c r="BF168" s="86" t="s">
        <v>182</v>
      </c>
      <c r="BG168" s="86">
        <v>2005.8</v>
      </c>
      <c r="BH168" s="86">
        <f>G168</f>
        <v>2010.2</v>
      </c>
      <c r="BI168" s="86">
        <f>BH168-BG168</f>
        <v>4.4000000000000909</v>
      </c>
      <c r="BJ168" s="86" t="s">
        <v>274</v>
      </c>
      <c r="BK168" s="86" t="s">
        <v>149</v>
      </c>
    </row>
    <row r="169" spans="1:63" s="92" customFormat="1" x14ac:dyDescent="0.2">
      <c r="A169" s="86">
        <v>166</v>
      </c>
      <c r="B169" s="86" t="s">
        <v>63</v>
      </c>
      <c r="C169" s="86" t="s">
        <v>45</v>
      </c>
      <c r="D169" s="91" t="s">
        <v>273</v>
      </c>
      <c r="E169" s="88">
        <v>32.462195923734384</v>
      </c>
      <c r="F169" s="86">
        <v>1975.5</v>
      </c>
      <c r="G169" s="86">
        <v>2010.2</v>
      </c>
      <c r="H169" s="86" t="s">
        <v>69</v>
      </c>
      <c r="I169" s="86">
        <v>1.93</v>
      </c>
      <c r="J169" s="86">
        <v>2.1800000000000002</v>
      </c>
      <c r="K169" s="96">
        <v>1.241732798202217</v>
      </c>
      <c r="L169" s="96">
        <v>2.2599999999999999E-2</v>
      </c>
      <c r="M169" s="88">
        <v>232.30565990395169</v>
      </c>
      <c r="N169" s="97">
        <v>22.599999999999998</v>
      </c>
      <c r="O169" s="90"/>
      <c r="P169" s="89">
        <f>(K169-K168*(1-R169/100))*100/R169</f>
        <v>1.2394990333467875</v>
      </c>
      <c r="Q169" s="91">
        <v>15</v>
      </c>
      <c r="R169" s="135">
        <v>95</v>
      </c>
      <c r="S169" s="86">
        <v>11.85</v>
      </c>
      <c r="T169" s="88">
        <v>11.461434370771311</v>
      </c>
      <c r="U169" s="86">
        <f t="shared" si="5"/>
        <v>0.38856562922868854</v>
      </c>
      <c r="V169" s="86" t="s">
        <v>151</v>
      </c>
      <c r="W169" s="91"/>
      <c r="X169" s="86" t="s">
        <v>152</v>
      </c>
      <c r="Y169" s="86" t="s">
        <v>253</v>
      </c>
      <c r="Z169" s="86" t="s">
        <v>253</v>
      </c>
      <c r="AA169" s="86"/>
      <c r="AB169" s="91" t="s">
        <v>273</v>
      </c>
      <c r="AC169" s="86" t="s">
        <v>160</v>
      </c>
      <c r="AD169" s="86"/>
      <c r="AE169" s="86"/>
      <c r="AF169" s="86"/>
      <c r="AG169" s="86"/>
      <c r="AH169" s="86">
        <v>2.5</v>
      </c>
      <c r="AI169" s="86" t="s">
        <v>160</v>
      </c>
      <c r="AJ169" s="94">
        <f>F169+15</f>
        <v>1990.5</v>
      </c>
      <c r="AK169" s="94">
        <f t="shared" si="8"/>
        <v>2010.2</v>
      </c>
      <c r="AL169" s="86" t="s">
        <v>255</v>
      </c>
      <c r="AM169" s="86"/>
      <c r="AN169" s="86" t="s">
        <v>44</v>
      </c>
      <c r="AO169" s="86">
        <v>2005.8</v>
      </c>
      <c r="AP169" s="86">
        <v>2010.2</v>
      </c>
      <c r="AQ169" s="86" t="s">
        <v>44</v>
      </c>
      <c r="AR169" s="86">
        <v>2009</v>
      </c>
      <c r="AS169" s="86">
        <v>2009.6</v>
      </c>
      <c r="AT169" s="86"/>
      <c r="AU169" s="86"/>
      <c r="AV169" s="86"/>
      <c r="AW169" s="86" t="s">
        <v>44</v>
      </c>
      <c r="AX169" s="86">
        <v>2007.1</v>
      </c>
      <c r="AY169" s="86"/>
      <c r="AZ169" s="86"/>
      <c r="BA169" s="86"/>
      <c r="BB169" s="86"/>
      <c r="BC169" s="86"/>
      <c r="BD169" s="86"/>
      <c r="BE169" s="86"/>
      <c r="BF169" s="86" t="s">
        <v>182</v>
      </c>
      <c r="BG169" s="86">
        <v>2005.8</v>
      </c>
      <c r="BH169" s="86">
        <f>G169</f>
        <v>2010.2</v>
      </c>
      <c r="BI169" s="86">
        <f>BH169-BG169</f>
        <v>4.4000000000000909</v>
      </c>
      <c r="BJ169" s="86" t="s">
        <v>274</v>
      </c>
      <c r="BK169" s="86" t="s">
        <v>149</v>
      </c>
    </row>
    <row r="170" spans="1:63" s="92" customFormat="1" x14ac:dyDescent="0.2">
      <c r="A170" s="86">
        <v>167</v>
      </c>
      <c r="B170" s="86" t="s">
        <v>63</v>
      </c>
      <c r="C170" s="86" t="s">
        <v>54</v>
      </c>
      <c r="D170" s="91" t="s">
        <v>275</v>
      </c>
      <c r="E170" s="88">
        <v>24.332277048438208</v>
      </c>
      <c r="F170" s="86">
        <v>1953.6</v>
      </c>
      <c r="G170" s="86">
        <v>2010.3</v>
      </c>
      <c r="H170" s="86" t="s">
        <v>47</v>
      </c>
      <c r="I170" s="86">
        <v>1.98</v>
      </c>
      <c r="J170" s="86">
        <v>2.3199999999999998</v>
      </c>
      <c r="K170" s="96">
        <v>1.09954306355453</v>
      </c>
      <c r="L170" s="96">
        <v>1.7000000000000001E-2</v>
      </c>
      <c r="M170" s="88">
        <v>91.195418602223015</v>
      </c>
      <c r="N170" s="97">
        <v>17</v>
      </c>
      <c r="O170" s="90"/>
      <c r="P170" s="125">
        <f>K170</f>
        <v>1.09954306355453</v>
      </c>
      <c r="Q170" s="91">
        <v>66.92</v>
      </c>
      <c r="R170" s="90">
        <v>100</v>
      </c>
      <c r="S170" s="86">
        <v>26.133333333333336</v>
      </c>
      <c r="T170" s="88">
        <v>20.617952187640959</v>
      </c>
      <c r="U170" s="86">
        <f t="shared" si="5"/>
        <v>5.5153811456923769</v>
      </c>
      <c r="V170" s="86" t="s">
        <v>151</v>
      </c>
      <c r="W170" s="91"/>
      <c r="X170" s="86" t="s">
        <v>152</v>
      </c>
      <c r="Y170" s="86" t="s">
        <v>376</v>
      </c>
      <c r="Z170" s="86" t="s">
        <v>276</v>
      </c>
      <c r="AA170" s="86" t="s">
        <v>51</v>
      </c>
      <c r="AB170" s="91" t="s">
        <v>275</v>
      </c>
      <c r="AC170" s="86" t="s">
        <v>160</v>
      </c>
      <c r="AD170" s="99">
        <f>AG170-AF170</f>
        <v>24.700000000000045</v>
      </c>
      <c r="AE170" s="86" t="s">
        <v>153</v>
      </c>
      <c r="AF170" s="99">
        <v>1985.6</v>
      </c>
      <c r="AG170" s="94">
        <f>G170</f>
        <v>2010.3</v>
      </c>
      <c r="AH170" s="86"/>
      <c r="AI170" s="86"/>
      <c r="AJ170" s="86"/>
      <c r="AK170" s="86"/>
      <c r="AL170" s="86" t="s">
        <v>255</v>
      </c>
      <c r="AM170" s="86"/>
      <c r="AN170" s="86" t="s">
        <v>44</v>
      </c>
      <c r="AO170" s="86">
        <v>2005.9</v>
      </c>
      <c r="AP170" s="86">
        <v>2010.3</v>
      </c>
      <c r="AQ170" s="86"/>
      <c r="AR170" s="86"/>
      <c r="AS170" s="86"/>
      <c r="AT170" s="86"/>
      <c r="AU170" s="86"/>
      <c r="AV170" s="86"/>
      <c r="AW170" s="86"/>
      <c r="AX170" s="86"/>
      <c r="AY170" s="86"/>
      <c r="AZ170" s="86"/>
      <c r="BA170" s="86"/>
      <c r="BB170" s="86"/>
      <c r="BC170" s="86" t="s">
        <v>44</v>
      </c>
      <c r="BD170" s="86">
        <v>2006</v>
      </c>
      <c r="BE170" s="86">
        <v>2010.3</v>
      </c>
      <c r="BF170" s="86" t="s">
        <v>182</v>
      </c>
      <c r="BG170" s="86">
        <v>2005.9</v>
      </c>
      <c r="BH170" s="86">
        <f>G170</f>
        <v>2010.3</v>
      </c>
      <c r="BI170" s="86">
        <f>BH170-BG170</f>
        <v>4.3999999999998636</v>
      </c>
      <c r="BJ170" s="86" t="s">
        <v>277</v>
      </c>
      <c r="BK170" s="86" t="s">
        <v>149</v>
      </c>
    </row>
    <row r="171" spans="1:63" s="92" customFormat="1" x14ac:dyDescent="0.2">
      <c r="A171" s="86">
        <v>168</v>
      </c>
      <c r="B171" s="86" t="s">
        <v>63</v>
      </c>
      <c r="C171" s="86" t="s">
        <v>45</v>
      </c>
      <c r="D171" s="91" t="s">
        <v>275</v>
      </c>
      <c r="E171" s="88">
        <v>24.332277048438208</v>
      </c>
      <c r="F171" s="86">
        <v>1953.6</v>
      </c>
      <c r="G171" s="86">
        <v>2010.3</v>
      </c>
      <c r="H171" s="86" t="s">
        <v>47</v>
      </c>
      <c r="I171" s="86">
        <v>1.97</v>
      </c>
      <c r="J171" s="86">
        <v>2.17</v>
      </c>
      <c r="K171" s="96">
        <v>1.030881612535133</v>
      </c>
      <c r="L171" s="96">
        <v>1.6E-2</v>
      </c>
      <c r="M171" s="88">
        <v>23.055239949519191</v>
      </c>
      <c r="N171" s="97">
        <v>16</v>
      </c>
      <c r="O171" s="90"/>
      <c r="P171" s="89">
        <f>(K171-K170*(1-R171/100))*100/R171</f>
        <v>1.0261083565819129</v>
      </c>
      <c r="Q171" s="91">
        <v>15.78</v>
      </c>
      <c r="R171" s="90">
        <v>93.5</v>
      </c>
      <c r="S171" s="86">
        <v>27.349999999999998</v>
      </c>
      <c r="T171" s="88">
        <v>26.887686062246278</v>
      </c>
      <c r="U171" s="86">
        <f t="shared" si="5"/>
        <v>0.46231393775371998</v>
      </c>
      <c r="V171" s="86" t="s">
        <v>151</v>
      </c>
      <c r="W171" s="91"/>
      <c r="X171" s="86" t="s">
        <v>152</v>
      </c>
      <c r="Y171" s="86" t="s">
        <v>376</v>
      </c>
      <c r="Z171" s="86" t="s">
        <v>276</v>
      </c>
      <c r="AA171" s="86" t="s">
        <v>51</v>
      </c>
      <c r="AB171" s="91" t="s">
        <v>275</v>
      </c>
      <c r="AC171" s="86" t="s">
        <v>160</v>
      </c>
      <c r="AD171" s="99">
        <f>AG171-AF171</f>
        <v>24.700000000000045</v>
      </c>
      <c r="AE171" s="86" t="s">
        <v>153</v>
      </c>
      <c r="AF171" s="99">
        <v>1985.6</v>
      </c>
      <c r="AG171" s="94">
        <f>G171</f>
        <v>2010.3</v>
      </c>
      <c r="AH171" s="86"/>
      <c r="AI171" s="86"/>
      <c r="AJ171" s="86"/>
      <c r="AK171" s="86"/>
      <c r="AL171" s="86" t="s">
        <v>255</v>
      </c>
      <c r="AM171" s="86"/>
      <c r="AN171" s="86" t="s">
        <v>44</v>
      </c>
      <c r="AO171" s="86">
        <v>2005.9</v>
      </c>
      <c r="AP171" s="86">
        <v>2010.3</v>
      </c>
      <c r="AQ171" s="86"/>
      <c r="AR171" s="86"/>
      <c r="AS171" s="86"/>
      <c r="AT171" s="86"/>
      <c r="AU171" s="86"/>
      <c r="AV171" s="86"/>
      <c r="AW171" s="86"/>
      <c r="AX171" s="86"/>
      <c r="AY171" s="86"/>
      <c r="AZ171" s="86"/>
      <c r="BA171" s="86"/>
      <c r="BB171" s="86"/>
      <c r="BC171" s="86" t="s">
        <v>44</v>
      </c>
      <c r="BD171" s="86">
        <v>2006</v>
      </c>
      <c r="BE171" s="86">
        <v>2010.3</v>
      </c>
      <c r="BF171" s="86" t="s">
        <v>182</v>
      </c>
      <c r="BG171" s="86">
        <v>2005.9</v>
      </c>
      <c r="BH171" s="86">
        <f>G171</f>
        <v>2010.3</v>
      </c>
      <c r="BI171" s="86">
        <f>BH171-BG171</f>
        <v>4.3999999999998636</v>
      </c>
      <c r="BJ171" s="86" t="s">
        <v>277</v>
      </c>
      <c r="BK171" s="86" t="s">
        <v>149</v>
      </c>
    </row>
    <row r="172" spans="1:63" s="92" customFormat="1" x14ac:dyDescent="0.2">
      <c r="A172" s="86">
        <v>169</v>
      </c>
      <c r="B172" s="87" t="s">
        <v>44</v>
      </c>
      <c r="C172" s="86" t="s">
        <v>54</v>
      </c>
      <c r="D172" s="87" t="s">
        <v>278</v>
      </c>
      <c r="E172" s="88">
        <v>26.296566837107374</v>
      </c>
      <c r="F172" s="86">
        <v>1961.7</v>
      </c>
      <c r="G172" s="86">
        <v>2010.3</v>
      </c>
      <c r="H172" s="86" t="s">
        <v>47</v>
      </c>
      <c r="I172" s="86"/>
      <c r="J172" s="86"/>
      <c r="K172" s="86">
        <v>1.2162523341385398</v>
      </c>
      <c r="L172" s="86">
        <v>0.01</v>
      </c>
      <c r="M172" s="86">
        <v>207.43803647229208</v>
      </c>
      <c r="N172" s="86">
        <v>10.053988810946635</v>
      </c>
      <c r="O172" s="90"/>
      <c r="P172" s="125">
        <f>K172</f>
        <v>1.2162523341385398</v>
      </c>
      <c r="Q172" s="100">
        <v>123.86</v>
      </c>
      <c r="R172" s="90">
        <v>100</v>
      </c>
      <c r="S172" s="86">
        <v>271.55555555555554</v>
      </c>
      <c r="T172" s="86">
        <v>149.84663960306719</v>
      </c>
      <c r="U172" s="86">
        <f t="shared" si="5"/>
        <v>121.70891595248835</v>
      </c>
      <c r="V172" s="86" t="s">
        <v>151</v>
      </c>
      <c r="W172" s="87"/>
      <c r="X172" s="86" t="s">
        <v>152</v>
      </c>
      <c r="Y172" s="86" t="s">
        <v>166</v>
      </c>
      <c r="Z172" s="86" t="s">
        <v>166</v>
      </c>
      <c r="AA172" s="86" t="s">
        <v>51</v>
      </c>
      <c r="AB172" s="87" t="s">
        <v>278</v>
      </c>
      <c r="AC172" s="86" t="s">
        <v>186</v>
      </c>
      <c r="AD172" s="86" t="s">
        <v>261</v>
      </c>
      <c r="AE172" s="86" t="s">
        <v>190</v>
      </c>
      <c r="AF172" s="86" t="s">
        <v>261</v>
      </c>
      <c r="AG172" s="86" t="s">
        <v>261</v>
      </c>
      <c r="AH172" s="99">
        <v>0.5</v>
      </c>
      <c r="AI172" s="86" t="s">
        <v>160</v>
      </c>
      <c r="AJ172" s="94">
        <f>AK172-AH172</f>
        <v>2009.8</v>
      </c>
      <c r="AK172" s="94">
        <f>G172</f>
        <v>2010.3</v>
      </c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86"/>
      <c r="AW172" s="86"/>
      <c r="AX172" s="86"/>
      <c r="AY172" s="86"/>
      <c r="AZ172" s="86"/>
      <c r="BA172" s="86"/>
      <c r="BB172" s="86"/>
      <c r="BC172" s="86"/>
      <c r="BD172" s="86"/>
      <c r="BE172" s="86"/>
      <c r="BF172" s="86"/>
      <c r="BG172" s="86"/>
      <c r="BH172" s="86"/>
      <c r="BI172" s="86"/>
      <c r="BJ172" s="86"/>
      <c r="BK172" s="86" t="s">
        <v>149</v>
      </c>
    </row>
    <row r="173" spans="1:63" s="92" customFormat="1" x14ac:dyDescent="0.2">
      <c r="A173" s="86">
        <v>170</v>
      </c>
      <c r="B173" s="87" t="s">
        <v>44</v>
      </c>
      <c r="C173" s="86" t="s">
        <v>45</v>
      </c>
      <c r="D173" s="87" t="s">
        <v>278</v>
      </c>
      <c r="E173" s="88">
        <v>26.296566837107374</v>
      </c>
      <c r="F173" s="86">
        <v>1961.7</v>
      </c>
      <c r="G173" s="86">
        <v>2010.3</v>
      </c>
      <c r="H173" s="86" t="s">
        <v>47</v>
      </c>
      <c r="I173" s="86"/>
      <c r="J173" s="86"/>
      <c r="K173" s="86">
        <v>1.2023947520922673</v>
      </c>
      <c r="L173" s="86">
        <v>1.6E-2</v>
      </c>
      <c r="M173" s="86">
        <v>193.68088165617704</v>
      </c>
      <c r="N173" s="86">
        <v>16.008424426127277</v>
      </c>
      <c r="O173" s="90"/>
      <c r="P173" s="89">
        <f>(K173-K172*(1-R173/100))*100/R173</f>
        <v>1.2021119442954045</v>
      </c>
      <c r="Q173" s="100">
        <v>14.59</v>
      </c>
      <c r="R173" s="90">
        <v>98</v>
      </c>
      <c r="S173" s="86">
        <v>44.666666666666664</v>
      </c>
      <c r="T173" s="86">
        <v>18.588182228236356</v>
      </c>
      <c r="U173" s="86">
        <f t="shared" si="5"/>
        <v>26.078484438430309</v>
      </c>
      <c r="V173" s="86" t="s">
        <v>151</v>
      </c>
      <c r="W173" s="87"/>
      <c r="X173" s="86" t="s">
        <v>152</v>
      </c>
      <c r="Y173" s="86" t="s">
        <v>166</v>
      </c>
      <c r="Z173" s="86" t="s">
        <v>166</v>
      </c>
      <c r="AA173" s="86" t="s">
        <v>51</v>
      </c>
      <c r="AB173" s="87" t="s">
        <v>278</v>
      </c>
      <c r="AC173" s="86" t="s">
        <v>186</v>
      </c>
      <c r="AD173" s="86" t="s">
        <v>261</v>
      </c>
      <c r="AE173" s="86" t="s">
        <v>190</v>
      </c>
      <c r="AF173" s="86" t="s">
        <v>261</v>
      </c>
      <c r="AG173" s="86" t="s">
        <v>261</v>
      </c>
      <c r="AH173" s="99">
        <v>0.5</v>
      </c>
      <c r="AI173" s="86" t="s">
        <v>160</v>
      </c>
      <c r="AJ173" s="94">
        <f>AK173-AH173</f>
        <v>2009.8</v>
      </c>
      <c r="AK173" s="94">
        <f>G173</f>
        <v>2010.3</v>
      </c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BK173" s="86" t="s">
        <v>149</v>
      </c>
    </row>
    <row r="174" spans="1:63" s="92" customFormat="1" x14ac:dyDescent="0.2">
      <c r="A174" s="86">
        <v>171</v>
      </c>
      <c r="B174" s="86" t="s">
        <v>63</v>
      </c>
      <c r="C174" s="86" t="s">
        <v>54</v>
      </c>
      <c r="D174" s="91" t="s">
        <v>279</v>
      </c>
      <c r="E174" s="86">
        <v>24.1</v>
      </c>
      <c r="F174" s="86">
        <v>1975</v>
      </c>
      <c r="G174" s="86">
        <v>2010.3</v>
      </c>
      <c r="H174" s="86" t="s">
        <v>69</v>
      </c>
      <c r="I174" s="86">
        <v>1.99</v>
      </c>
      <c r="J174" s="86">
        <v>2.2999999999999998</v>
      </c>
      <c r="K174" s="96">
        <v>1.2599807638710401</v>
      </c>
      <c r="L174" s="96">
        <v>1.5800000000000002E-2</v>
      </c>
      <c r="M174" s="88">
        <v>250.41508844444027</v>
      </c>
      <c r="N174" s="97">
        <v>15.8</v>
      </c>
      <c r="O174" s="86"/>
      <c r="P174" s="125">
        <f>K174</f>
        <v>1.2599807638710401</v>
      </c>
      <c r="Q174" s="91" t="s">
        <v>280</v>
      </c>
      <c r="R174" s="90">
        <v>100</v>
      </c>
      <c r="S174" s="86">
        <v>36.483333333333334</v>
      </c>
      <c r="T174" s="88">
        <v>30.225529995489403</v>
      </c>
      <c r="U174" s="86">
        <f t="shared" si="5"/>
        <v>6.2578033378439315</v>
      </c>
      <c r="V174" s="86" t="s">
        <v>180</v>
      </c>
      <c r="W174" s="134"/>
      <c r="X174" s="86" t="s">
        <v>281</v>
      </c>
      <c r="Y174" s="86" t="s">
        <v>253</v>
      </c>
      <c r="Z174" s="86" t="s">
        <v>253</v>
      </c>
      <c r="AA174" s="86"/>
      <c r="AB174" s="91" t="s">
        <v>279</v>
      </c>
      <c r="AC174" s="86" t="s">
        <v>160</v>
      </c>
      <c r="AD174" s="86"/>
      <c r="AE174" s="86"/>
      <c r="AF174" s="86"/>
      <c r="AG174" s="86"/>
      <c r="AH174" s="86">
        <v>2</v>
      </c>
      <c r="AI174" s="86" t="s">
        <v>160</v>
      </c>
      <c r="AJ174" s="94">
        <f>F174+27</f>
        <v>2002</v>
      </c>
      <c r="AK174" s="94">
        <f>G174</f>
        <v>2010.3</v>
      </c>
      <c r="AL174" s="86" t="s">
        <v>255</v>
      </c>
      <c r="AM174" s="86"/>
      <c r="AN174" s="86" t="s">
        <v>44</v>
      </c>
      <c r="AO174" s="86">
        <v>2002</v>
      </c>
      <c r="AP174" s="86">
        <v>2010.3</v>
      </c>
      <c r="AQ174" s="86"/>
      <c r="AR174" s="86"/>
      <c r="AS174" s="86"/>
      <c r="AT174" s="86"/>
      <c r="AU174" s="86"/>
      <c r="AV174" s="86"/>
      <c r="AW174" s="86"/>
      <c r="AX174" s="86"/>
      <c r="AY174" s="86"/>
      <c r="AZ174" s="86"/>
      <c r="BA174" s="86"/>
      <c r="BB174" s="86"/>
      <c r="BC174" s="86"/>
      <c r="BD174" s="86"/>
      <c r="BE174" s="86"/>
      <c r="BF174" s="86" t="s">
        <v>377</v>
      </c>
      <c r="BG174" s="94">
        <f>AJ174</f>
        <v>2002</v>
      </c>
      <c r="BH174" s="86">
        <f>G174</f>
        <v>2010.3</v>
      </c>
      <c r="BI174" s="99">
        <f>BH174-BG174</f>
        <v>8.2999999999999545</v>
      </c>
      <c r="BJ174" s="86" t="s">
        <v>282</v>
      </c>
      <c r="BK174" s="86" t="s">
        <v>149</v>
      </c>
    </row>
    <row r="175" spans="1:63" s="92" customFormat="1" x14ac:dyDescent="0.2">
      <c r="A175" s="86">
        <v>172</v>
      </c>
      <c r="B175" s="86" t="s">
        <v>63</v>
      </c>
      <c r="C175" s="86" t="s">
        <v>45</v>
      </c>
      <c r="D175" s="91" t="s">
        <v>279</v>
      </c>
      <c r="E175" s="86">
        <v>24.1</v>
      </c>
      <c r="F175" s="86">
        <v>1975</v>
      </c>
      <c r="G175" s="86">
        <v>2010.3</v>
      </c>
      <c r="H175" s="86" t="s">
        <v>69</v>
      </c>
      <c r="I175" s="86">
        <v>1.93</v>
      </c>
      <c r="J175" s="86">
        <v>2.2400000000000002</v>
      </c>
      <c r="K175" s="96">
        <v>1.3301290639835162</v>
      </c>
      <c r="L175" s="96">
        <v>2.2000000000000002E-2</v>
      </c>
      <c r="M175" s="88">
        <v>320.03082814818271</v>
      </c>
      <c r="N175" s="97">
        <v>22</v>
      </c>
      <c r="O175" s="90"/>
      <c r="P175" s="89">
        <f>(K175-K174*(1-R175/100))*100/R175</f>
        <v>1.3346066150545253</v>
      </c>
      <c r="Q175" s="91" t="s">
        <v>283</v>
      </c>
      <c r="R175" s="135">
        <v>94</v>
      </c>
      <c r="S175" s="86">
        <v>18.099999999999998</v>
      </c>
      <c r="T175" s="88">
        <v>15.340550293188993</v>
      </c>
      <c r="U175" s="86">
        <f t="shared" si="5"/>
        <v>2.7594497068110044</v>
      </c>
      <c r="V175" s="86" t="s">
        <v>180</v>
      </c>
      <c r="W175" s="134"/>
      <c r="X175" s="86" t="s">
        <v>281</v>
      </c>
      <c r="Y175" s="86" t="s">
        <v>253</v>
      </c>
      <c r="Z175" s="86" t="s">
        <v>253</v>
      </c>
      <c r="AA175" s="86"/>
      <c r="AB175" s="91" t="s">
        <v>279</v>
      </c>
      <c r="AC175" s="86" t="s">
        <v>160</v>
      </c>
      <c r="AD175" s="86"/>
      <c r="AE175" s="86"/>
      <c r="AF175" s="86"/>
      <c r="AG175" s="86"/>
      <c r="AH175" s="86">
        <v>2</v>
      </c>
      <c r="AI175" s="86" t="s">
        <v>160</v>
      </c>
      <c r="AJ175" s="94">
        <f>F175+27</f>
        <v>2002</v>
      </c>
      <c r="AK175" s="94">
        <f>G175</f>
        <v>2010.3</v>
      </c>
      <c r="AL175" s="86" t="s">
        <v>255</v>
      </c>
      <c r="AM175" s="86"/>
      <c r="AN175" s="86" t="s">
        <v>44</v>
      </c>
      <c r="AO175" s="86">
        <v>2002</v>
      </c>
      <c r="AP175" s="86">
        <v>2010.3</v>
      </c>
      <c r="AQ175" s="86"/>
      <c r="AR175" s="86"/>
      <c r="AS175" s="86"/>
      <c r="AT175" s="86"/>
      <c r="AU175" s="86"/>
      <c r="AV175" s="86"/>
      <c r="AW175" s="86"/>
      <c r="AX175" s="86"/>
      <c r="AY175" s="86"/>
      <c r="AZ175" s="86"/>
      <c r="BA175" s="86"/>
      <c r="BB175" s="86"/>
      <c r="BC175" s="86"/>
      <c r="BD175" s="86"/>
      <c r="BE175" s="86"/>
      <c r="BF175" s="86" t="s">
        <v>377</v>
      </c>
      <c r="BG175" s="94">
        <f>AJ175</f>
        <v>2002</v>
      </c>
      <c r="BH175" s="86">
        <f>G175</f>
        <v>2010.3</v>
      </c>
      <c r="BI175" s="99">
        <f>BH175-BG175</f>
        <v>8.2999999999999545</v>
      </c>
      <c r="BJ175" s="86" t="s">
        <v>282</v>
      </c>
      <c r="BK175" s="86" t="s">
        <v>149</v>
      </c>
    </row>
    <row r="176" spans="1:63" s="92" customFormat="1" x14ac:dyDescent="0.2">
      <c r="A176" s="86">
        <v>173</v>
      </c>
      <c r="B176" s="86" t="s">
        <v>63</v>
      </c>
      <c r="C176" s="86" t="s">
        <v>54</v>
      </c>
      <c r="D176" s="101" t="s">
        <v>284</v>
      </c>
      <c r="E176" s="99">
        <v>30.9</v>
      </c>
      <c r="F176" s="86">
        <v>1952.7</v>
      </c>
      <c r="G176" s="86">
        <v>2010.5</v>
      </c>
      <c r="H176" s="86" t="s">
        <v>47</v>
      </c>
      <c r="I176" s="86">
        <v>1.97</v>
      </c>
      <c r="J176" s="86">
        <v>2.2799999999999998</v>
      </c>
      <c r="K176" s="96">
        <v>1.0948799677558321</v>
      </c>
      <c r="L176" s="96">
        <v>1.8299999999999997E-2</v>
      </c>
      <c r="M176" s="88">
        <v>86.567724662166555</v>
      </c>
      <c r="N176" s="97">
        <v>18.299999999999997</v>
      </c>
      <c r="O176" s="86"/>
      <c r="P176" s="125">
        <f>K176</f>
        <v>1.0948799677558321</v>
      </c>
      <c r="Q176" s="91">
        <v>58.2</v>
      </c>
      <c r="R176" s="90">
        <v>100</v>
      </c>
      <c r="S176" s="86">
        <v>64</v>
      </c>
      <c r="T176" s="88">
        <v>62.521425349571494</v>
      </c>
      <c r="U176" s="86">
        <f t="shared" si="5"/>
        <v>1.4785746504285058</v>
      </c>
      <c r="V176" s="86" t="s">
        <v>151</v>
      </c>
      <c r="W176" s="136"/>
      <c r="X176" s="86" t="s">
        <v>211</v>
      </c>
      <c r="Y176" s="86" t="s">
        <v>248</v>
      </c>
      <c r="Z176" s="86"/>
      <c r="AA176" s="86" t="s">
        <v>249</v>
      </c>
      <c r="AB176" s="101" t="s">
        <v>284</v>
      </c>
      <c r="AC176" s="86" t="s">
        <v>160</v>
      </c>
      <c r="AD176" s="86">
        <f>AG176-AF176</f>
        <v>43.799999999999955</v>
      </c>
      <c r="AE176" s="86" t="s">
        <v>190</v>
      </c>
      <c r="AF176" s="86">
        <f>F176+14</f>
        <v>1966.7</v>
      </c>
      <c r="AG176" s="86">
        <f>G176</f>
        <v>2010.5</v>
      </c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86"/>
      <c r="AW176" s="86"/>
      <c r="AX176" s="86"/>
      <c r="AY176" s="86"/>
      <c r="AZ176" s="86"/>
      <c r="BA176" s="86"/>
      <c r="BB176" s="86"/>
      <c r="BC176" s="86"/>
      <c r="BD176" s="86"/>
      <c r="BE176" s="86"/>
      <c r="BF176" s="86"/>
      <c r="BG176" s="86"/>
      <c r="BH176" s="86"/>
      <c r="BI176" s="86"/>
      <c r="BJ176" s="86" t="s">
        <v>365</v>
      </c>
      <c r="BK176" s="86" t="s">
        <v>149</v>
      </c>
    </row>
    <row r="177" spans="1:63" s="92" customFormat="1" x14ac:dyDescent="0.2">
      <c r="A177" s="86">
        <v>174</v>
      </c>
      <c r="B177" s="86" t="s">
        <v>63</v>
      </c>
      <c r="C177" s="86" t="s">
        <v>45</v>
      </c>
      <c r="D177" s="101" t="s">
        <v>284</v>
      </c>
      <c r="E177" s="99">
        <v>30.9</v>
      </c>
      <c r="F177" s="86">
        <v>1952.7</v>
      </c>
      <c r="G177" s="86">
        <v>2010.5</v>
      </c>
      <c r="H177" s="86" t="s">
        <v>47</v>
      </c>
      <c r="I177" s="86">
        <v>1.97</v>
      </c>
      <c r="J177" s="86">
        <v>2.27</v>
      </c>
      <c r="K177" s="96">
        <v>1.0084757947606837</v>
      </c>
      <c r="L177" s="96">
        <v>1.6399999999999998E-2</v>
      </c>
      <c r="M177" s="88">
        <v>0.81952539143936853</v>
      </c>
      <c r="N177" s="97">
        <v>16.399999999999999</v>
      </c>
      <c r="O177" s="90"/>
      <c r="P177" s="89">
        <f>(K177-K176*(1-R177/100))*100/R177</f>
        <v>1.0048756208858858</v>
      </c>
      <c r="Q177" s="91">
        <v>9.8000000000000007</v>
      </c>
      <c r="R177" s="134">
        <v>96</v>
      </c>
      <c r="S177" s="86">
        <v>24.733333333333334</v>
      </c>
      <c r="T177" s="88">
        <v>20.392422192151557</v>
      </c>
      <c r="U177" s="86">
        <f t="shared" si="5"/>
        <v>4.3409111411817776</v>
      </c>
      <c r="V177" s="86" t="s">
        <v>151</v>
      </c>
      <c r="W177" s="101"/>
      <c r="X177" s="86" t="s">
        <v>211</v>
      </c>
      <c r="Y177" s="86" t="s">
        <v>248</v>
      </c>
      <c r="Z177" s="86"/>
      <c r="AA177" s="86" t="s">
        <v>249</v>
      </c>
      <c r="AB177" s="101" t="s">
        <v>284</v>
      </c>
      <c r="AC177" s="86" t="s">
        <v>160</v>
      </c>
      <c r="AD177" s="86">
        <f>AG177-AF177</f>
        <v>43.799999999999955</v>
      </c>
      <c r="AE177" s="86" t="s">
        <v>190</v>
      </c>
      <c r="AF177" s="86">
        <f>F177+14</f>
        <v>1966.7</v>
      </c>
      <c r="AG177" s="86">
        <f>G177</f>
        <v>2010.5</v>
      </c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86"/>
      <c r="AW177" s="86"/>
      <c r="AX177" s="86"/>
      <c r="AY177" s="86"/>
      <c r="AZ177" s="86"/>
      <c r="BA177" s="86"/>
      <c r="BB177" s="86"/>
      <c r="BC177" s="86"/>
      <c r="BD177" s="86"/>
      <c r="BE177" s="86"/>
      <c r="BF177" s="86"/>
      <c r="BG177" s="86"/>
      <c r="BH177" s="86"/>
      <c r="BI177" s="86"/>
      <c r="BJ177" s="86" t="s">
        <v>365</v>
      </c>
      <c r="BK177" s="86" t="s">
        <v>149</v>
      </c>
    </row>
    <row r="178" spans="1:63" s="92" customFormat="1" ht="19" customHeight="1" x14ac:dyDescent="0.2">
      <c r="A178" s="86">
        <v>175</v>
      </c>
      <c r="B178" s="86" t="s">
        <v>63</v>
      </c>
      <c r="C178" s="86" t="s">
        <v>54</v>
      </c>
      <c r="D178" s="91" t="s">
        <v>285</v>
      </c>
      <c r="E178" s="86">
        <v>29.9</v>
      </c>
      <c r="F178" s="86">
        <v>1973.2</v>
      </c>
      <c r="G178" s="86">
        <v>2010.5</v>
      </c>
      <c r="H178" s="86" t="s">
        <v>47</v>
      </c>
      <c r="I178" s="86">
        <v>1.98</v>
      </c>
      <c r="J178" s="86">
        <v>2.31</v>
      </c>
      <c r="K178" s="96">
        <v>1.2937062871260745</v>
      </c>
      <c r="L178" s="96">
        <v>1.72E-2</v>
      </c>
      <c r="M178" s="88">
        <v>283.88457016431732</v>
      </c>
      <c r="N178" s="97">
        <v>17.2</v>
      </c>
      <c r="O178" s="90"/>
      <c r="P178" s="125">
        <f>K178</f>
        <v>1.2937062871260745</v>
      </c>
      <c r="Q178" s="91" t="s">
        <v>286</v>
      </c>
      <c r="R178" s="90">
        <v>100</v>
      </c>
      <c r="S178" s="86">
        <v>44.683333333333337</v>
      </c>
      <c r="T178" s="88">
        <v>39.878213802435731</v>
      </c>
      <c r="U178" s="86">
        <f t="shared" si="5"/>
        <v>4.8051195308976062</v>
      </c>
      <c r="V178" s="86" t="s">
        <v>151</v>
      </c>
      <c r="W178" s="91"/>
      <c r="X178" s="86" t="s">
        <v>257</v>
      </c>
      <c r="Y178" s="93" t="s">
        <v>376</v>
      </c>
      <c r="Z178" s="93" t="s">
        <v>265</v>
      </c>
      <c r="AA178" s="86" t="s">
        <v>287</v>
      </c>
      <c r="AB178" s="91" t="s">
        <v>285</v>
      </c>
      <c r="AC178" s="93" t="s">
        <v>153</v>
      </c>
      <c r="AD178" s="86">
        <f>AG178-AF178</f>
        <v>13.400000000000091</v>
      </c>
      <c r="AE178" s="86" t="s">
        <v>153</v>
      </c>
      <c r="AF178" s="86">
        <v>1997.1</v>
      </c>
      <c r="AG178" s="86">
        <f>G178</f>
        <v>2010.5</v>
      </c>
      <c r="AH178" s="86"/>
      <c r="AI178" s="86"/>
      <c r="AJ178" s="86"/>
      <c r="AK178" s="86"/>
      <c r="AL178" s="86" t="s">
        <v>255</v>
      </c>
      <c r="AM178" s="86"/>
      <c r="AN178" s="86" t="s">
        <v>44</v>
      </c>
      <c r="AO178" s="86">
        <v>2006.3</v>
      </c>
      <c r="AP178" s="86">
        <v>2006.8</v>
      </c>
      <c r="AQ178" s="86"/>
      <c r="AR178" s="86"/>
      <c r="AS178" s="86"/>
      <c r="AT178" s="86"/>
      <c r="AU178" s="86"/>
      <c r="AV178" s="86"/>
      <c r="AW178" s="86"/>
      <c r="AX178" s="86"/>
      <c r="AY178" s="86"/>
      <c r="AZ178" s="86"/>
      <c r="BA178" s="86"/>
      <c r="BB178" s="86"/>
      <c r="BC178" s="86" t="s">
        <v>44</v>
      </c>
      <c r="BD178" s="86">
        <v>2006.3</v>
      </c>
      <c r="BE178" s="86">
        <v>2010.8</v>
      </c>
      <c r="BF178" s="86" t="s">
        <v>288</v>
      </c>
      <c r="BG178" s="86">
        <v>2006.3</v>
      </c>
      <c r="BH178" s="86">
        <f>BG178+BI178</f>
        <v>2006.8</v>
      </c>
      <c r="BI178" s="86">
        <v>0.5</v>
      </c>
      <c r="BJ178" s="86" t="s">
        <v>289</v>
      </c>
      <c r="BK178" s="86" t="s">
        <v>149</v>
      </c>
    </row>
    <row r="179" spans="1:63" s="92" customFormat="1" x14ac:dyDescent="0.2">
      <c r="A179" s="86">
        <v>176</v>
      </c>
      <c r="B179" s="86" t="s">
        <v>63</v>
      </c>
      <c r="C179" s="86" t="s">
        <v>45</v>
      </c>
      <c r="D179" s="91" t="s">
        <v>285</v>
      </c>
      <c r="E179" s="86">
        <v>29.9</v>
      </c>
      <c r="F179" s="86">
        <v>1973.2</v>
      </c>
      <c r="G179" s="86">
        <v>2010.5</v>
      </c>
      <c r="H179" s="86" t="s">
        <v>47</v>
      </c>
      <c r="I179" s="86">
        <v>1.95</v>
      </c>
      <c r="J179" s="86">
        <v>2.17</v>
      </c>
      <c r="K179" s="96">
        <v>1.3694315865725435</v>
      </c>
      <c r="L179" s="96">
        <v>2.0799999999999999E-2</v>
      </c>
      <c r="M179" s="88">
        <v>359.0349690592405</v>
      </c>
      <c r="N179" s="97">
        <v>20.8</v>
      </c>
      <c r="O179" s="90"/>
      <c r="P179" s="89">
        <f>(K179-K178*(1-R179/100))*100/R179</f>
        <v>1.3734171286486734</v>
      </c>
      <c r="Q179" s="91" t="s">
        <v>290</v>
      </c>
      <c r="R179" s="134">
        <v>95</v>
      </c>
      <c r="S179" s="86">
        <v>24.766666666666666</v>
      </c>
      <c r="T179" s="88">
        <v>21.655390166892197</v>
      </c>
      <c r="U179" s="86">
        <f t="shared" si="5"/>
        <v>3.1112764997744691</v>
      </c>
      <c r="V179" s="86" t="s">
        <v>151</v>
      </c>
      <c r="W179" s="91"/>
      <c r="X179" s="86" t="s">
        <v>257</v>
      </c>
      <c r="Y179" s="93" t="s">
        <v>376</v>
      </c>
      <c r="Z179" s="93" t="s">
        <v>265</v>
      </c>
      <c r="AA179" s="86" t="s">
        <v>287</v>
      </c>
      <c r="AB179" s="91" t="s">
        <v>285</v>
      </c>
      <c r="AC179" s="93" t="s">
        <v>153</v>
      </c>
      <c r="AD179" s="86">
        <f>AG179-AF179</f>
        <v>13.400000000000091</v>
      </c>
      <c r="AE179" s="86" t="s">
        <v>153</v>
      </c>
      <c r="AF179" s="86">
        <v>1997.1</v>
      </c>
      <c r="AG179" s="86">
        <f>G179</f>
        <v>2010.5</v>
      </c>
      <c r="AH179" s="86"/>
      <c r="AI179" s="86"/>
      <c r="AJ179" s="86"/>
      <c r="AK179" s="86"/>
      <c r="AL179" s="86" t="s">
        <v>255</v>
      </c>
      <c r="AM179" s="86"/>
      <c r="AN179" s="86" t="s">
        <v>44</v>
      </c>
      <c r="AO179" s="86">
        <v>2006.3</v>
      </c>
      <c r="AP179" s="86">
        <v>2006.8</v>
      </c>
      <c r="AQ179" s="86"/>
      <c r="AR179" s="86"/>
      <c r="AS179" s="86"/>
      <c r="AT179" s="86"/>
      <c r="AU179" s="86"/>
      <c r="AV179" s="86"/>
      <c r="AW179" s="86"/>
      <c r="AX179" s="86"/>
      <c r="AY179" s="86"/>
      <c r="AZ179" s="86"/>
      <c r="BA179" s="86"/>
      <c r="BB179" s="86"/>
      <c r="BC179" s="86" t="s">
        <v>44</v>
      </c>
      <c r="BD179" s="86">
        <v>2006.3</v>
      </c>
      <c r="BE179" s="86">
        <v>2010.8</v>
      </c>
      <c r="BF179" s="86" t="s">
        <v>288</v>
      </c>
      <c r="BG179" s="86">
        <v>2006.3</v>
      </c>
      <c r="BH179" s="86">
        <f>BG179+BI179</f>
        <v>2006.8</v>
      </c>
      <c r="BI179" s="86">
        <v>0.5</v>
      </c>
      <c r="BJ179" s="86" t="s">
        <v>289</v>
      </c>
      <c r="BK179" s="86" t="s">
        <v>149</v>
      </c>
    </row>
    <row r="180" spans="1:63" s="92" customFormat="1" x14ac:dyDescent="0.2">
      <c r="A180" s="86">
        <v>177</v>
      </c>
      <c r="B180" s="87" t="s">
        <v>44</v>
      </c>
      <c r="C180" s="86" t="s">
        <v>54</v>
      </c>
      <c r="D180" s="87" t="s">
        <v>291</v>
      </c>
      <c r="E180" s="86">
        <v>21.2</v>
      </c>
      <c r="F180" s="86">
        <v>1987.8</v>
      </c>
      <c r="G180" s="86">
        <v>2010.8</v>
      </c>
      <c r="H180" s="86" t="s">
        <v>69</v>
      </c>
      <c r="I180" s="86"/>
      <c r="J180" s="86"/>
      <c r="K180" s="86">
        <v>1.164608220116667</v>
      </c>
      <c r="L180" s="86">
        <v>8.0000000000000002E-3</v>
      </c>
      <c r="M180" s="86">
        <v>156.05342477334426</v>
      </c>
      <c r="N180" s="86">
        <v>8</v>
      </c>
      <c r="O180" s="90"/>
      <c r="P180" s="125">
        <f>K180</f>
        <v>1.164608220116667</v>
      </c>
      <c r="Q180" s="100">
        <v>119.38</v>
      </c>
      <c r="R180" s="90">
        <v>100</v>
      </c>
      <c r="S180" s="86">
        <v>198.33333333333334</v>
      </c>
      <c r="T180" s="86">
        <v>155.34957149300854</v>
      </c>
      <c r="U180" s="86">
        <f t="shared" si="5"/>
        <v>42.983761840324803</v>
      </c>
      <c r="V180" s="86" t="s">
        <v>151</v>
      </c>
      <c r="W180" s="87"/>
      <c r="X180" s="86" t="s">
        <v>152</v>
      </c>
      <c r="Y180" s="86" t="s">
        <v>253</v>
      </c>
      <c r="Z180" s="86" t="s">
        <v>253</v>
      </c>
      <c r="AA180" s="86"/>
      <c r="AB180" s="87" t="s">
        <v>291</v>
      </c>
      <c r="AC180" s="86" t="s">
        <v>160</v>
      </c>
      <c r="AD180" s="86"/>
      <c r="AE180" s="86"/>
      <c r="AF180" s="86"/>
      <c r="AG180" s="86"/>
      <c r="AH180" s="86">
        <v>5</v>
      </c>
      <c r="AI180" s="86" t="s">
        <v>160</v>
      </c>
      <c r="AJ180" s="94">
        <f>F180+15</f>
        <v>2002.8</v>
      </c>
      <c r="AK180" s="94">
        <f>G180</f>
        <v>2010.8</v>
      </c>
      <c r="AL180" s="86" t="s">
        <v>255</v>
      </c>
      <c r="AM180" s="86"/>
      <c r="AN180" s="86" t="s">
        <v>44</v>
      </c>
      <c r="AO180" s="86">
        <v>2008.8</v>
      </c>
      <c r="AP180" s="86">
        <f>G180</f>
        <v>2010.8</v>
      </c>
      <c r="AQ180" s="86"/>
      <c r="AR180" s="86"/>
      <c r="AS180" s="86"/>
      <c r="AT180" s="86"/>
      <c r="AU180" s="86"/>
      <c r="AV180" s="86"/>
      <c r="AW180" s="86"/>
      <c r="AX180" s="86"/>
      <c r="AY180" s="86"/>
      <c r="AZ180" s="86"/>
      <c r="BA180" s="86"/>
      <c r="BB180" s="86"/>
      <c r="BC180" s="86"/>
      <c r="BD180" s="86"/>
      <c r="BE180" s="86"/>
      <c r="BF180" s="86" t="s">
        <v>377</v>
      </c>
      <c r="BG180" s="86">
        <f>BH180-BI180</f>
        <v>2008.8</v>
      </c>
      <c r="BH180" s="86">
        <f>G180</f>
        <v>2010.8</v>
      </c>
      <c r="BI180" s="86">
        <v>2</v>
      </c>
      <c r="BJ180" s="86" t="s">
        <v>292</v>
      </c>
      <c r="BK180" s="86" t="s">
        <v>149</v>
      </c>
    </row>
    <row r="181" spans="1:63" s="92" customFormat="1" x14ac:dyDescent="0.2">
      <c r="A181" s="86">
        <v>178</v>
      </c>
      <c r="B181" s="87" t="s">
        <v>44</v>
      </c>
      <c r="C181" s="86" t="s">
        <v>45</v>
      </c>
      <c r="D181" s="87" t="s">
        <v>291</v>
      </c>
      <c r="E181" s="86">
        <v>21.2</v>
      </c>
      <c r="F181" s="86">
        <v>1987.8</v>
      </c>
      <c r="G181" s="86">
        <v>2010.8</v>
      </c>
      <c r="H181" s="86" t="s">
        <v>69</v>
      </c>
      <c r="I181" s="86"/>
      <c r="J181" s="86"/>
      <c r="K181" s="86">
        <v>1.182619714337656</v>
      </c>
      <c r="L181" s="86">
        <v>1.3999999999999999E-2</v>
      </c>
      <c r="M181" s="86">
        <v>173.93261300144536</v>
      </c>
      <c r="N181" s="86">
        <v>14</v>
      </c>
      <c r="O181" s="90"/>
      <c r="P181" s="89">
        <f>(K181-K180*(1-R181/100))*100/R181</f>
        <v>1.1831767708599548</v>
      </c>
      <c r="Q181" s="100">
        <v>13.4</v>
      </c>
      <c r="R181" s="90">
        <v>97</v>
      </c>
      <c r="S181" s="86">
        <v>20.333333333333332</v>
      </c>
      <c r="T181" s="86">
        <v>15.926928281461432</v>
      </c>
      <c r="U181" s="86">
        <f t="shared" si="5"/>
        <v>4.4064050518719</v>
      </c>
      <c r="V181" s="86" t="s">
        <v>151</v>
      </c>
      <c r="W181" s="137"/>
      <c r="X181" s="86" t="s">
        <v>152</v>
      </c>
      <c r="Y181" s="86" t="s">
        <v>253</v>
      </c>
      <c r="Z181" s="86" t="s">
        <v>253</v>
      </c>
      <c r="AA181" s="86"/>
      <c r="AB181" s="87" t="s">
        <v>291</v>
      </c>
      <c r="AC181" s="86" t="s">
        <v>160</v>
      </c>
      <c r="AD181" s="86"/>
      <c r="AE181" s="86"/>
      <c r="AF181" s="86"/>
      <c r="AG181" s="86"/>
      <c r="AH181" s="86">
        <v>5</v>
      </c>
      <c r="AI181" s="86" t="s">
        <v>160</v>
      </c>
      <c r="AJ181" s="94">
        <f>F181+15</f>
        <v>2002.8</v>
      </c>
      <c r="AK181" s="94">
        <f>G181</f>
        <v>2010.8</v>
      </c>
      <c r="AL181" s="86" t="s">
        <v>255</v>
      </c>
      <c r="AM181" s="86"/>
      <c r="AN181" s="86" t="s">
        <v>44</v>
      </c>
      <c r="AO181" s="86">
        <v>2008.8</v>
      </c>
      <c r="AP181" s="86">
        <f>G181</f>
        <v>2010.8</v>
      </c>
      <c r="AQ181" s="86"/>
      <c r="AR181" s="86"/>
      <c r="AS181" s="86"/>
      <c r="AT181" s="86"/>
      <c r="AU181" s="86"/>
      <c r="AV181" s="86"/>
      <c r="AW181" s="86"/>
      <c r="AX181" s="86"/>
      <c r="AY181" s="86"/>
      <c r="AZ181" s="86"/>
      <c r="BA181" s="86"/>
      <c r="BB181" s="86"/>
      <c r="BC181" s="86"/>
      <c r="BD181" s="86"/>
      <c r="BE181" s="86"/>
      <c r="BF181" s="86" t="s">
        <v>377</v>
      </c>
      <c r="BG181" s="86">
        <f>BH181-BI181</f>
        <v>2008.8</v>
      </c>
      <c r="BH181" s="86">
        <f>G181</f>
        <v>2010.8</v>
      </c>
      <c r="BI181" s="86">
        <v>2</v>
      </c>
      <c r="BJ181" s="86" t="s">
        <v>292</v>
      </c>
      <c r="BK181" s="86" t="s">
        <v>149</v>
      </c>
    </row>
    <row r="182" spans="1:63" s="92" customFormat="1" x14ac:dyDescent="0.2">
      <c r="A182" s="86">
        <v>179</v>
      </c>
      <c r="B182" s="87" t="s">
        <v>44</v>
      </c>
      <c r="C182" s="86" t="s">
        <v>54</v>
      </c>
      <c r="D182" s="87" t="s">
        <v>293</v>
      </c>
      <c r="E182" s="86">
        <v>30.5</v>
      </c>
      <c r="F182" s="86">
        <v>1965.7</v>
      </c>
      <c r="G182" s="86">
        <v>2010.8</v>
      </c>
      <c r="H182" s="86" t="s">
        <v>69</v>
      </c>
      <c r="I182" s="86"/>
      <c r="J182" s="86"/>
      <c r="K182" s="86">
        <v>1.4865019788682334</v>
      </c>
      <c r="L182" s="86">
        <v>0.01</v>
      </c>
      <c r="M182" s="86">
        <v>475.58266713146048</v>
      </c>
      <c r="N182" s="86">
        <v>10</v>
      </c>
      <c r="O182" s="86"/>
      <c r="P182" s="125">
        <f>K182</f>
        <v>1.4865019788682334</v>
      </c>
      <c r="Q182" s="86">
        <v>45.5</v>
      </c>
      <c r="R182" s="90">
        <v>100</v>
      </c>
      <c r="S182" s="86">
        <v>77</v>
      </c>
      <c r="T182" s="86">
        <v>70.414975191700492</v>
      </c>
      <c r="U182" s="86">
        <f t="shared" si="5"/>
        <v>6.585024808299508</v>
      </c>
      <c r="V182" s="86" t="s">
        <v>151</v>
      </c>
      <c r="W182" s="137"/>
      <c r="X182" s="86" t="s">
        <v>211</v>
      </c>
      <c r="Y182" s="86" t="s">
        <v>248</v>
      </c>
      <c r="Z182" s="86"/>
      <c r="AA182" s="86" t="s">
        <v>287</v>
      </c>
      <c r="AB182" s="87" t="s">
        <v>293</v>
      </c>
      <c r="AC182" s="86" t="s">
        <v>160</v>
      </c>
      <c r="AD182" s="86">
        <v>20</v>
      </c>
      <c r="AE182" s="86" t="s">
        <v>160</v>
      </c>
      <c r="AF182" s="86">
        <f>AG182-AD182</f>
        <v>1990.8</v>
      </c>
      <c r="AG182" s="86">
        <f>G182</f>
        <v>2010.8</v>
      </c>
      <c r="AH182" s="86"/>
      <c r="AI182" s="86"/>
      <c r="AJ182" s="86"/>
      <c r="AK182" s="86"/>
      <c r="AL182" s="86" t="s">
        <v>255</v>
      </c>
      <c r="AM182" s="86"/>
      <c r="AN182" s="86" t="s">
        <v>44</v>
      </c>
      <c r="AO182" s="86">
        <v>2006</v>
      </c>
      <c r="AP182" s="86">
        <v>2006.2</v>
      </c>
      <c r="AQ182" s="86" t="s">
        <v>44</v>
      </c>
      <c r="AR182" s="86">
        <v>2009.8</v>
      </c>
      <c r="AS182" s="86">
        <v>2010.2</v>
      </c>
      <c r="AT182" s="86"/>
      <c r="AU182" s="86"/>
      <c r="AV182" s="86"/>
      <c r="AW182" s="86" t="s">
        <v>44</v>
      </c>
      <c r="AX182" s="86" t="s">
        <v>391</v>
      </c>
      <c r="AY182" s="86" t="s">
        <v>392</v>
      </c>
      <c r="AZ182" s="86"/>
      <c r="BA182" s="86"/>
      <c r="BB182" s="86"/>
      <c r="BC182" s="86"/>
      <c r="BD182" s="86"/>
      <c r="BE182" s="86"/>
      <c r="BF182" s="86" t="s">
        <v>182</v>
      </c>
      <c r="BG182" s="86">
        <f>BH182-BI182</f>
        <v>2009.3</v>
      </c>
      <c r="BH182" s="86">
        <f>G182</f>
        <v>2010.8</v>
      </c>
      <c r="BI182" s="86">
        <v>1.5</v>
      </c>
      <c r="BJ182" s="86" t="s">
        <v>366</v>
      </c>
      <c r="BK182" s="86" t="s">
        <v>149</v>
      </c>
    </row>
    <row r="183" spans="1:63" s="92" customFormat="1" x14ac:dyDescent="0.2">
      <c r="A183" s="86">
        <v>180</v>
      </c>
      <c r="B183" s="86" t="s">
        <v>63</v>
      </c>
      <c r="C183" s="91" t="s">
        <v>54</v>
      </c>
      <c r="D183" s="91" t="s">
        <v>294</v>
      </c>
      <c r="E183" s="86">
        <v>18.7</v>
      </c>
      <c r="F183" s="86">
        <v>1993.8</v>
      </c>
      <c r="G183" s="86">
        <v>2010.8</v>
      </c>
      <c r="H183" s="86" t="s">
        <v>47</v>
      </c>
      <c r="I183" s="103">
        <v>2</v>
      </c>
      <c r="J183" s="86">
        <v>2.31</v>
      </c>
      <c r="K183" s="96">
        <v>1.1028421489486706</v>
      </c>
      <c r="L183" s="96">
        <v>1.46E-2</v>
      </c>
      <c r="M183" s="88">
        <v>94.469457598045594</v>
      </c>
      <c r="N183" s="97">
        <v>14.6</v>
      </c>
      <c r="O183" s="86"/>
      <c r="P183" s="125">
        <f>K183</f>
        <v>1.1028421489486706</v>
      </c>
      <c r="Q183" s="91">
        <v>75</v>
      </c>
      <c r="R183" s="90">
        <v>100</v>
      </c>
      <c r="S183" s="86">
        <v>50.733333333333327</v>
      </c>
      <c r="T183" s="88">
        <v>43.216057735678838</v>
      </c>
      <c r="U183" s="86">
        <f t="shared" si="5"/>
        <v>7.5172755976544892</v>
      </c>
      <c r="V183" s="86" t="s">
        <v>151</v>
      </c>
      <c r="W183" s="91"/>
      <c r="X183" s="86" t="s">
        <v>152</v>
      </c>
      <c r="Y183" s="86" t="s">
        <v>166</v>
      </c>
      <c r="Z183" s="86" t="s">
        <v>166</v>
      </c>
      <c r="AA183" s="86"/>
      <c r="AB183" s="91" t="s">
        <v>294</v>
      </c>
      <c r="AC183" s="86" t="s">
        <v>160</v>
      </c>
      <c r="AD183" s="86"/>
      <c r="AE183" s="86"/>
      <c r="AF183" s="86"/>
      <c r="AG183" s="86"/>
      <c r="AH183" s="86">
        <v>1</v>
      </c>
      <c r="AI183" s="86" t="s">
        <v>160</v>
      </c>
      <c r="AJ183" s="94">
        <f>AK183-AH183</f>
        <v>2009.8</v>
      </c>
      <c r="AK183" s="94">
        <f t="shared" ref="AK183:AK192" si="9">G183</f>
        <v>2010.8</v>
      </c>
      <c r="AL183" s="86" t="s">
        <v>255</v>
      </c>
      <c r="AM183" s="86"/>
      <c r="AN183" s="86" t="s">
        <v>44</v>
      </c>
      <c r="AO183" s="86">
        <v>2010.1</v>
      </c>
      <c r="AP183" s="86">
        <v>2010.2</v>
      </c>
      <c r="AQ183" s="86"/>
      <c r="AR183" s="86"/>
      <c r="AS183" s="86"/>
      <c r="AT183" s="86"/>
      <c r="AU183" s="86"/>
      <c r="AV183" s="86"/>
      <c r="AW183" s="86"/>
      <c r="AX183" s="86"/>
      <c r="AY183" s="86"/>
      <c r="AZ183" s="86"/>
      <c r="BA183" s="86"/>
      <c r="BB183" s="86"/>
      <c r="BC183" s="86"/>
      <c r="BD183" s="86"/>
      <c r="BE183" s="86"/>
      <c r="BF183" s="86" t="s">
        <v>182</v>
      </c>
      <c r="BG183" s="86">
        <v>2010.1</v>
      </c>
      <c r="BH183" s="86">
        <v>2010.2</v>
      </c>
      <c r="BI183" s="86">
        <f>BH183-BG183</f>
        <v>0.10000000000013642</v>
      </c>
      <c r="BJ183" s="86" t="s">
        <v>295</v>
      </c>
      <c r="BK183" s="86" t="s">
        <v>149</v>
      </c>
    </row>
    <row r="184" spans="1:63" s="92" customFormat="1" x14ac:dyDescent="0.2">
      <c r="A184" s="86">
        <v>181</v>
      </c>
      <c r="B184" s="86" t="s">
        <v>63</v>
      </c>
      <c r="C184" s="91" t="s">
        <v>45</v>
      </c>
      <c r="D184" s="91" t="s">
        <v>294</v>
      </c>
      <c r="E184" s="86">
        <v>18.7</v>
      </c>
      <c r="F184" s="86">
        <v>1993.8</v>
      </c>
      <c r="G184" s="86">
        <v>2010.8</v>
      </c>
      <c r="H184" s="86" t="s">
        <v>47</v>
      </c>
      <c r="I184" s="86">
        <v>1.96</v>
      </c>
      <c r="J184" s="86">
        <v>2.25</v>
      </c>
      <c r="K184" s="96">
        <v>1.1172122499990531</v>
      </c>
      <c r="L184" s="96">
        <v>1.8200000000000001E-2</v>
      </c>
      <c r="M184" s="88">
        <v>108.73046196502068</v>
      </c>
      <c r="N184" s="97">
        <v>18.2</v>
      </c>
      <c r="O184" s="90"/>
      <c r="P184" s="89">
        <f>(K184-K183*(1-R184/100))*100/R184</f>
        <v>1.1178110042094855</v>
      </c>
      <c r="Q184" s="91">
        <v>13.1</v>
      </c>
      <c r="R184" s="134">
        <v>96</v>
      </c>
      <c r="S184" s="86">
        <v>25.833333333333332</v>
      </c>
      <c r="T184" s="88">
        <v>21.565178168696438</v>
      </c>
      <c r="U184" s="86">
        <f t="shared" si="5"/>
        <v>4.2681551646368945</v>
      </c>
      <c r="V184" s="86" t="s">
        <v>151</v>
      </c>
      <c r="W184" s="91"/>
      <c r="X184" s="86" t="s">
        <v>152</v>
      </c>
      <c r="Y184" s="86" t="s">
        <v>166</v>
      </c>
      <c r="Z184" s="86" t="s">
        <v>166</v>
      </c>
      <c r="AA184" s="86"/>
      <c r="AB184" s="91" t="s">
        <v>294</v>
      </c>
      <c r="AC184" s="86" t="s">
        <v>160</v>
      </c>
      <c r="AD184" s="86"/>
      <c r="AE184" s="86"/>
      <c r="AF184" s="86"/>
      <c r="AG184" s="86"/>
      <c r="AH184" s="86">
        <v>1</v>
      </c>
      <c r="AI184" s="86" t="s">
        <v>160</v>
      </c>
      <c r="AJ184" s="94">
        <f>AK184-AH184</f>
        <v>2009.8</v>
      </c>
      <c r="AK184" s="94">
        <f t="shared" si="9"/>
        <v>2010.8</v>
      </c>
      <c r="AL184" s="86" t="s">
        <v>255</v>
      </c>
      <c r="AM184" s="86"/>
      <c r="AN184" s="86" t="s">
        <v>44</v>
      </c>
      <c r="AO184" s="86">
        <v>2010.1</v>
      </c>
      <c r="AP184" s="86">
        <v>2010.2</v>
      </c>
      <c r="AQ184" s="86"/>
      <c r="AR184" s="86"/>
      <c r="AS184" s="86"/>
      <c r="AT184" s="86"/>
      <c r="AU184" s="86"/>
      <c r="AV184" s="86"/>
      <c r="AW184" s="86"/>
      <c r="AX184" s="86"/>
      <c r="AY184" s="86"/>
      <c r="AZ184" s="86"/>
      <c r="BA184" s="86"/>
      <c r="BB184" s="86"/>
      <c r="BC184" s="86"/>
      <c r="BD184" s="86"/>
      <c r="BE184" s="86"/>
      <c r="BF184" s="86" t="s">
        <v>182</v>
      </c>
      <c r="BG184" s="86">
        <v>2010.1</v>
      </c>
      <c r="BH184" s="86">
        <v>2010.2</v>
      </c>
      <c r="BI184" s="86">
        <f>BH184-BG184</f>
        <v>0.10000000000013642</v>
      </c>
      <c r="BJ184" s="86" t="s">
        <v>295</v>
      </c>
      <c r="BK184" s="86" t="s">
        <v>149</v>
      </c>
    </row>
    <row r="185" spans="1:63" s="92" customFormat="1" ht="18" customHeight="1" x14ac:dyDescent="0.2">
      <c r="A185" s="86">
        <v>182</v>
      </c>
      <c r="B185" s="86" t="s">
        <v>63</v>
      </c>
      <c r="C185" s="91" t="s">
        <v>54</v>
      </c>
      <c r="D185" s="91" t="s">
        <v>296</v>
      </c>
      <c r="E185" s="86">
        <v>22.5</v>
      </c>
      <c r="F185" s="86">
        <v>1989.7</v>
      </c>
      <c r="G185" s="86">
        <v>2010.8</v>
      </c>
      <c r="H185" s="86" t="s">
        <v>47</v>
      </c>
      <c r="I185" s="86">
        <v>2</v>
      </c>
      <c r="J185" s="86">
        <v>2.3199999999999998</v>
      </c>
      <c r="K185" s="96">
        <v>1.1345184694261137</v>
      </c>
      <c r="L185" s="96">
        <v>1.2199999999999999E-2</v>
      </c>
      <c r="M185" s="88">
        <v>125.77122699238275</v>
      </c>
      <c r="N185" s="97">
        <v>12.2</v>
      </c>
      <c r="O185" s="90"/>
      <c r="P185" s="125">
        <f>K185</f>
        <v>1.1345184694261137</v>
      </c>
      <c r="Q185" s="91">
        <v>82.2</v>
      </c>
      <c r="R185" s="90">
        <v>100</v>
      </c>
      <c r="S185" s="86">
        <v>75.483333333333334</v>
      </c>
      <c r="T185" s="88">
        <v>66.986919260261615</v>
      </c>
      <c r="U185" s="86">
        <f t="shared" si="5"/>
        <v>8.496414073071719</v>
      </c>
      <c r="V185" s="86" t="s">
        <v>151</v>
      </c>
      <c r="W185" s="91"/>
      <c r="X185" s="86" t="s">
        <v>152</v>
      </c>
      <c r="Y185" s="86" t="s">
        <v>166</v>
      </c>
      <c r="Z185" s="86" t="s">
        <v>166</v>
      </c>
      <c r="AA185" s="86"/>
      <c r="AB185" s="91" t="s">
        <v>296</v>
      </c>
      <c r="AC185" s="86" t="s">
        <v>160</v>
      </c>
      <c r="AD185" s="86"/>
      <c r="AE185" s="86"/>
      <c r="AF185" s="86"/>
      <c r="AG185" s="86"/>
      <c r="AH185" s="86">
        <v>0.5</v>
      </c>
      <c r="AI185" s="86" t="s">
        <v>160</v>
      </c>
      <c r="AJ185" s="99">
        <f>AK185-AH185</f>
        <v>2010.3</v>
      </c>
      <c r="AK185" s="94">
        <f t="shared" si="9"/>
        <v>2010.8</v>
      </c>
      <c r="AL185" s="86" t="s">
        <v>255</v>
      </c>
      <c r="AM185" s="86"/>
      <c r="AN185" s="86" t="s">
        <v>44</v>
      </c>
      <c r="AO185" s="86">
        <v>2010.5</v>
      </c>
      <c r="AP185" s="86">
        <v>2010.8</v>
      </c>
      <c r="AQ185" s="86"/>
      <c r="AR185" s="86"/>
      <c r="AS185" s="86"/>
      <c r="AT185" s="86"/>
      <c r="AU185" s="86"/>
      <c r="AV185" s="86"/>
      <c r="AW185" s="86"/>
      <c r="AX185" s="86"/>
      <c r="AY185" s="86"/>
      <c r="AZ185" s="86"/>
      <c r="BA185" s="86"/>
      <c r="BB185" s="86"/>
      <c r="BC185" s="86"/>
      <c r="BD185" s="86">
        <v>2010.3</v>
      </c>
      <c r="BE185" s="86"/>
      <c r="BF185" s="86" t="s">
        <v>182</v>
      </c>
      <c r="BG185" s="86">
        <v>2010.5</v>
      </c>
      <c r="BH185" s="86">
        <f>G185</f>
        <v>2010.8</v>
      </c>
      <c r="BI185" s="86">
        <f>BH185-BG185</f>
        <v>0.29999999999995453</v>
      </c>
      <c r="BJ185" s="86" t="s">
        <v>367</v>
      </c>
      <c r="BK185" s="86" t="s">
        <v>149</v>
      </c>
    </row>
    <row r="186" spans="1:63" s="92" customFormat="1" x14ac:dyDescent="0.2">
      <c r="A186" s="86">
        <v>183</v>
      </c>
      <c r="B186" s="86" t="s">
        <v>63</v>
      </c>
      <c r="C186" s="91" t="s">
        <v>45</v>
      </c>
      <c r="D186" s="91" t="s">
        <v>296</v>
      </c>
      <c r="E186" s="86">
        <v>22.5</v>
      </c>
      <c r="F186" s="86">
        <v>1989.7</v>
      </c>
      <c r="G186" s="86">
        <v>2010.8</v>
      </c>
      <c r="H186" s="86" t="s">
        <v>47</v>
      </c>
      <c r="I186" s="86">
        <v>2</v>
      </c>
      <c r="J186" s="86">
        <v>2.1800000000000002</v>
      </c>
      <c r="K186" s="96">
        <v>1.1604828920155936</v>
      </c>
      <c r="L186" s="96">
        <v>1.6399999999999998E-2</v>
      </c>
      <c r="M186" s="88">
        <v>151.53546147989471</v>
      </c>
      <c r="N186" s="97">
        <v>16.399999999999999</v>
      </c>
      <c r="O186" s="90"/>
      <c r="P186" s="89">
        <f>(K186-K185*(1-R186/100))*100/R186</f>
        <v>1.1613689581432594</v>
      </c>
      <c r="Q186" s="91">
        <v>16.100000000000001</v>
      </c>
      <c r="R186" s="134">
        <v>96.7</v>
      </c>
      <c r="S186" s="86">
        <v>38.4</v>
      </c>
      <c r="T186" s="88">
        <v>33.337843933243121</v>
      </c>
      <c r="U186" s="86">
        <f t="shared" si="5"/>
        <v>5.0621560667568772</v>
      </c>
      <c r="V186" s="86" t="s">
        <v>151</v>
      </c>
      <c r="W186" s="91"/>
      <c r="X186" s="86" t="s">
        <v>152</v>
      </c>
      <c r="Y186" s="86" t="s">
        <v>166</v>
      </c>
      <c r="Z186" s="86" t="s">
        <v>166</v>
      </c>
      <c r="AA186" s="86"/>
      <c r="AB186" s="91" t="s">
        <v>296</v>
      </c>
      <c r="AC186" s="86" t="s">
        <v>160</v>
      </c>
      <c r="AD186" s="86"/>
      <c r="AE186" s="86"/>
      <c r="AF186" s="86"/>
      <c r="AG186" s="86"/>
      <c r="AH186" s="86">
        <v>0.5</v>
      </c>
      <c r="AI186" s="86" t="s">
        <v>160</v>
      </c>
      <c r="AJ186" s="99">
        <f>AK186-AH186</f>
        <v>2010.3</v>
      </c>
      <c r="AK186" s="94">
        <f t="shared" si="9"/>
        <v>2010.8</v>
      </c>
      <c r="AL186" s="86" t="s">
        <v>255</v>
      </c>
      <c r="AM186" s="86"/>
      <c r="AN186" s="86" t="s">
        <v>44</v>
      </c>
      <c r="AO186" s="86">
        <v>2010.5</v>
      </c>
      <c r="AP186" s="86">
        <v>2010.8</v>
      </c>
      <c r="AQ186" s="86"/>
      <c r="AR186" s="86"/>
      <c r="AS186" s="86"/>
      <c r="AT186" s="86"/>
      <c r="AU186" s="86"/>
      <c r="AV186" s="86"/>
      <c r="AW186" s="86"/>
      <c r="AX186" s="86"/>
      <c r="AY186" s="86"/>
      <c r="AZ186" s="86"/>
      <c r="BA186" s="86"/>
      <c r="BB186" s="86"/>
      <c r="BC186" s="86"/>
      <c r="BD186" s="86">
        <v>2010.3</v>
      </c>
      <c r="BE186" s="86"/>
      <c r="BF186" s="86" t="s">
        <v>182</v>
      </c>
      <c r="BG186" s="86">
        <v>2010.5</v>
      </c>
      <c r="BH186" s="86">
        <f>G186</f>
        <v>2010.8</v>
      </c>
      <c r="BI186" s="86">
        <f>BH186-BG186</f>
        <v>0.29999999999995453</v>
      </c>
      <c r="BJ186" s="86" t="s">
        <v>367</v>
      </c>
      <c r="BK186" s="86" t="s">
        <v>149</v>
      </c>
    </row>
    <row r="187" spans="1:63" s="92" customFormat="1" x14ac:dyDescent="0.2">
      <c r="A187" s="86">
        <v>184</v>
      </c>
      <c r="B187" s="87" t="s">
        <v>44</v>
      </c>
      <c r="C187" s="130" t="s">
        <v>54</v>
      </c>
      <c r="D187" s="131" t="s">
        <v>297</v>
      </c>
      <c r="E187" s="86">
        <v>22.2</v>
      </c>
      <c r="F187" s="130">
        <v>1983.8</v>
      </c>
      <c r="G187" s="130">
        <v>2010.8</v>
      </c>
      <c r="H187" s="130" t="s">
        <v>47</v>
      </c>
      <c r="I187" s="86"/>
      <c r="J187" s="86"/>
      <c r="K187" s="124">
        <v>1.1920049409110052</v>
      </c>
      <c r="L187" s="138">
        <v>8.0000000000000002E-3</v>
      </c>
      <c r="M187" s="86">
        <v>183.24889905797613</v>
      </c>
      <c r="N187" s="138">
        <v>8</v>
      </c>
      <c r="O187" s="86"/>
      <c r="P187" s="125">
        <f>K187</f>
        <v>1.1920049409110052</v>
      </c>
      <c r="Q187" s="130">
        <v>83.4</v>
      </c>
      <c r="R187" s="90">
        <v>100</v>
      </c>
      <c r="S187" s="86">
        <v>83.333333333333329</v>
      </c>
      <c r="T187" s="138">
        <v>76.323861073522778</v>
      </c>
      <c r="U187" s="86">
        <f t="shared" si="5"/>
        <v>7.0094722598105506</v>
      </c>
      <c r="V187" s="86" t="s">
        <v>48</v>
      </c>
      <c r="W187" s="131"/>
      <c r="X187" s="86" t="s">
        <v>147</v>
      </c>
      <c r="Y187" s="86" t="s">
        <v>248</v>
      </c>
      <c r="Z187" s="86" t="s">
        <v>166</v>
      </c>
      <c r="AA187" s="86" t="s">
        <v>249</v>
      </c>
      <c r="AB187" s="131" t="s">
        <v>297</v>
      </c>
      <c r="AC187" s="86" t="s">
        <v>160</v>
      </c>
      <c r="AD187" s="86">
        <v>2</v>
      </c>
      <c r="AE187" s="86" t="s">
        <v>160</v>
      </c>
      <c r="AF187" s="86">
        <f>AG187-AD187</f>
        <v>2008.8</v>
      </c>
      <c r="AG187" s="86">
        <f>G187</f>
        <v>2010.8</v>
      </c>
      <c r="AH187" s="99">
        <f>AK187-AJ187</f>
        <v>1.3999999999998636</v>
      </c>
      <c r="AI187" s="86" t="s">
        <v>153</v>
      </c>
      <c r="AJ187" s="86">
        <v>2009.4</v>
      </c>
      <c r="AK187" s="94">
        <f t="shared" si="9"/>
        <v>2010.8</v>
      </c>
      <c r="AL187" s="86" t="s">
        <v>255</v>
      </c>
      <c r="AM187" s="86"/>
      <c r="AN187" s="86" t="s">
        <v>44</v>
      </c>
      <c r="AO187" s="86">
        <v>2009.4</v>
      </c>
      <c r="AP187" s="86">
        <v>2010.4</v>
      </c>
      <c r="AQ187" s="86"/>
      <c r="AR187" s="86"/>
      <c r="AS187" s="86"/>
      <c r="AT187" s="86"/>
      <c r="AU187" s="86"/>
      <c r="AV187" s="86"/>
      <c r="AW187" s="86"/>
      <c r="AX187" s="86"/>
      <c r="AY187" s="86"/>
      <c r="AZ187" s="86"/>
      <c r="BA187" s="86"/>
      <c r="BB187" s="86"/>
      <c r="BC187" s="86"/>
      <c r="BD187" s="86"/>
      <c r="BE187" s="86"/>
      <c r="BF187" s="86" t="s">
        <v>182</v>
      </c>
      <c r="BG187" s="86">
        <v>2009.4</v>
      </c>
      <c r="BH187" s="86">
        <f>BG187+BI187</f>
        <v>2010.4</v>
      </c>
      <c r="BI187" s="86">
        <v>1</v>
      </c>
      <c r="BJ187" s="86"/>
      <c r="BK187" s="86" t="s">
        <v>149</v>
      </c>
    </row>
    <row r="188" spans="1:63" s="92" customFormat="1" x14ac:dyDescent="0.2">
      <c r="A188" s="86">
        <v>185</v>
      </c>
      <c r="B188" s="87" t="s">
        <v>44</v>
      </c>
      <c r="C188" s="139" t="s">
        <v>45</v>
      </c>
      <c r="D188" s="140" t="s">
        <v>297</v>
      </c>
      <c r="E188" s="86">
        <v>22.2</v>
      </c>
      <c r="F188" s="130">
        <v>1983.8</v>
      </c>
      <c r="G188" s="130">
        <v>2010.8</v>
      </c>
      <c r="H188" s="130" t="s">
        <v>47</v>
      </c>
      <c r="I188" s="86"/>
      <c r="J188" s="86"/>
      <c r="K188" s="124">
        <v>1.1911841922422439</v>
      </c>
      <c r="L188" s="138">
        <v>1.2E-2</v>
      </c>
      <c r="M188" s="86">
        <v>182.43417931531059</v>
      </c>
      <c r="N188" s="138">
        <v>12</v>
      </c>
      <c r="O188" s="86"/>
      <c r="P188" s="89">
        <f>(K188-K187*(1-R188/100))*100/R188</f>
        <v>1.1911517718166589</v>
      </c>
      <c r="Q188" s="130">
        <v>10.6</v>
      </c>
      <c r="R188" s="90">
        <v>96.2</v>
      </c>
      <c r="S188" s="86">
        <v>27.333333333333332</v>
      </c>
      <c r="T188" s="138">
        <v>21.38475417230492</v>
      </c>
      <c r="U188" s="86">
        <f t="shared" si="5"/>
        <v>5.9485791610284124</v>
      </c>
      <c r="V188" s="86" t="s">
        <v>48</v>
      </c>
      <c r="W188" s="140"/>
      <c r="X188" s="86" t="s">
        <v>147</v>
      </c>
      <c r="Y188" s="86" t="s">
        <v>248</v>
      </c>
      <c r="Z188" s="86" t="s">
        <v>166</v>
      </c>
      <c r="AA188" s="86" t="s">
        <v>249</v>
      </c>
      <c r="AB188" s="140" t="s">
        <v>297</v>
      </c>
      <c r="AC188" s="86" t="s">
        <v>160</v>
      </c>
      <c r="AD188" s="86">
        <v>2</v>
      </c>
      <c r="AE188" s="86" t="s">
        <v>160</v>
      </c>
      <c r="AF188" s="86">
        <f>AG188-AD188</f>
        <v>2008.8</v>
      </c>
      <c r="AG188" s="86">
        <f>G188</f>
        <v>2010.8</v>
      </c>
      <c r="AH188" s="99">
        <f>AK188-AJ188</f>
        <v>1.3999999999998636</v>
      </c>
      <c r="AI188" s="86" t="s">
        <v>153</v>
      </c>
      <c r="AJ188" s="86">
        <v>2009.4</v>
      </c>
      <c r="AK188" s="94">
        <f t="shared" si="9"/>
        <v>2010.8</v>
      </c>
      <c r="AL188" s="86" t="s">
        <v>255</v>
      </c>
      <c r="AM188" s="86"/>
      <c r="AN188" s="86" t="s">
        <v>44</v>
      </c>
      <c r="AO188" s="86">
        <v>2009.4</v>
      </c>
      <c r="AP188" s="86">
        <v>2010.4</v>
      </c>
      <c r="AQ188" s="86"/>
      <c r="AR188" s="86"/>
      <c r="AS188" s="86"/>
      <c r="AT188" s="86"/>
      <c r="AU188" s="86"/>
      <c r="AV188" s="86"/>
      <c r="AW188" s="86"/>
      <c r="AX188" s="86"/>
      <c r="AY188" s="86"/>
      <c r="AZ188" s="86"/>
      <c r="BA188" s="86"/>
      <c r="BB188" s="86"/>
      <c r="BC188" s="86"/>
      <c r="BD188" s="86"/>
      <c r="BE188" s="86"/>
      <c r="BF188" s="86" t="s">
        <v>182</v>
      </c>
      <c r="BG188" s="86">
        <v>2009.4</v>
      </c>
      <c r="BH188" s="86">
        <f>BG188+BI188</f>
        <v>2010.4</v>
      </c>
      <c r="BI188" s="86">
        <v>1</v>
      </c>
      <c r="BJ188" s="86"/>
      <c r="BK188" s="86" t="s">
        <v>149</v>
      </c>
    </row>
    <row r="189" spans="1:63" s="92" customFormat="1" x14ac:dyDescent="0.2">
      <c r="A189" s="86">
        <v>186</v>
      </c>
      <c r="B189" s="86" t="s">
        <v>63</v>
      </c>
      <c r="C189" s="130" t="s">
        <v>54</v>
      </c>
      <c r="D189" s="134" t="s">
        <v>298</v>
      </c>
      <c r="E189" s="99">
        <v>19</v>
      </c>
      <c r="F189" s="130">
        <v>1935.8</v>
      </c>
      <c r="G189" s="130">
        <v>2010.8</v>
      </c>
      <c r="H189" s="130" t="s">
        <v>69</v>
      </c>
      <c r="I189" s="86">
        <v>1.99</v>
      </c>
      <c r="J189" s="86">
        <v>2.3199999999999998</v>
      </c>
      <c r="K189" s="119">
        <v>1.0682474112886458</v>
      </c>
      <c r="L189" s="127">
        <v>1.54E-2</v>
      </c>
      <c r="M189" s="88">
        <v>60.137360480966521</v>
      </c>
      <c r="N189" s="128">
        <v>15.4</v>
      </c>
      <c r="O189" s="90"/>
      <c r="P189" s="125">
        <f>K189</f>
        <v>1.0682474112886458</v>
      </c>
      <c r="Q189" s="134">
        <v>60</v>
      </c>
      <c r="R189" s="90">
        <v>100</v>
      </c>
      <c r="S189" s="86">
        <v>48.733333333333327</v>
      </c>
      <c r="T189" s="141">
        <v>43.26116373477673</v>
      </c>
      <c r="U189" s="86">
        <f t="shared" si="5"/>
        <v>5.4721695985565972</v>
      </c>
      <c r="V189" s="86" t="s">
        <v>151</v>
      </c>
      <c r="W189" s="134"/>
      <c r="X189" s="130" t="s">
        <v>299</v>
      </c>
      <c r="Y189" s="86" t="s">
        <v>166</v>
      </c>
      <c r="Z189" s="86" t="s">
        <v>166</v>
      </c>
      <c r="AA189" s="130"/>
      <c r="AB189" s="134" t="s">
        <v>298</v>
      </c>
      <c r="AC189" s="86" t="s">
        <v>160</v>
      </c>
      <c r="AD189" s="86"/>
      <c r="AE189" s="86"/>
      <c r="AF189" s="86"/>
      <c r="AG189" s="86"/>
      <c r="AH189" s="86">
        <v>4</v>
      </c>
      <c r="AI189" s="86" t="s">
        <v>160</v>
      </c>
      <c r="AJ189" s="94">
        <f>AK189-AH189</f>
        <v>2006.8</v>
      </c>
      <c r="AK189" s="94">
        <f t="shared" si="9"/>
        <v>2010.8</v>
      </c>
      <c r="AL189" s="86" t="s">
        <v>255</v>
      </c>
      <c r="AM189" s="86"/>
      <c r="AN189" s="86" t="s">
        <v>44</v>
      </c>
      <c r="AO189" s="86">
        <v>2007.9</v>
      </c>
      <c r="AP189" s="86">
        <v>2008.5</v>
      </c>
      <c r="AQ189" s="86" t="s">
        <v>44</v>
      </c>
      <c r="AR189" s="86">
        <v>2008.5</v>
      </c>
      <c r="AS189" s="86">
        <v>2010.8</v>
      </c>
      <c r="AT189" s="86"/>
      <c r="AU189" s="86"/>
      <c r="AV189" s="86"/>
      <c r="AW189" s="86" t="s">
        <v>44</v>
      </c>
      <c r="AX189" s="86" t="s">
        <v>393</v>
      </c>
      <c r="AY189" s="86"/>
      <c r="AZ189" s="86"/>
      <c r="BA189" s="86"/>
      <c r="BB189" s="86"/>
      <c r="BC189" s="86" t="s">
        <v>44</v>
      </c>
      <c r="BD189" s="86">
        <v>2008.2</v>
      </c>
      <c r="BE189" s="86">
        <v>2010.1</v>
      </c>
      <c r="BF189" s="86" t="s">
        <v>182</v>
      </c>
      <c r="BG189" s="86">
        <v>2007.8</v>
      </c>
      <c r="BH189" s="86">
        <f>G189</f>
        <v>2010.8</v>
      </c>
      <c r="BI189" s="86">
        <f>BH189-BG189</f>
        <v>3</v>
      </c>
      <c r="BJ189" s="86" t="s">
        <v>368</v>
      </c>
      <c r="BK189" s="86" t="s">
        <v>149</v>
      </c>
    </row>
    <row r="190" spans="1:63" s="92" customFormat="1" x14ac:dyDescent="0.2">
      <c r="A190" s="86">
        <v>187</v>
      </c>
      <c r="B190" s="86" t="s">
        <v>63</v>
      </c>
      <c r="C190" s="130" t="s">
        <v>45</v>
      </c>
      <c r="D190" s="134" t="s">
        <v>298</v>
      </c>
      <c r="E190" s="99">
        <v>19</v>
      </c>
      <c r="F190" s="130">
        <v>1935.8</v>
      </c>
      <c r="G190" s="130">
        <v>2010.8</v>
      </c>
      <c r="H190" s="130" t="s">
        <v>69</v>
      </c>
      <c r="I190" s="86">
        <v>1.98</v>
      </c>
      <c r="J190" s="86">
        <v>2.2200000000000002</v>
      </c>
      <c r="K190" s="119">
        <v>1.006416080852689</v>
      </c>
      <c r="L190" s="127">
        <v>1.6799999999999999E-2</v>
      </c>
      <c r="M190" s="88">
        <v>-1.2245513296391675</v>
      </c>
      <c r="N190" s="128">
        <v>16.8</v>
      </c>
      <c r="O190" s="86"/>
      <c r="P190" s="89">
        <f>(K190-K189*(1-R190/100))*100/R190</f>
        <v>1.0031618003034282</v>
      </c>
      <c r="Q190" s="134" t="s">
        <v>300</v>
      </c>
      <c r="R190" s="134">
        <v>95</v>
      </c>
      <c r="S190" s="86">
        <v>32.1</v>
      </c>
      <c r="T190" s="141">
        <v>26.797474064050522</v>
      </c>
      <c r="U190" s="86">
        <f t="shared" si="5"/>
        <v>5.302525935949479</v>
      </c>
      <c r="V190" s="86" t="s">
        <v>151</v>
      </c>
      <c r="W190" s="134"/>
      <c r="X190" s="130" t="s">
        <v>299</v>
      </c>
      <c r="Y190" s="86" t="s">
        <v>166</v>
      </c>
      <c r="Z190" s="86" t="s">
        <v>166</v>
      </c>
      <c r="AA190" s="130"/>
      <c r="AB190" s="134" t="s">
        <v>298</v>
      </c>
      <c r="AC190" s="86" t="s">
        <v>160</v>
      </c>
      <c r="AD190" s="86"/>
      <c r="AE190" s="86"/>
      <c r="AF190" s="86"/>
      <c r="AG190" s="86"/>
      <c r="AH190" s="86">
        <v>4</v>
      </c>
      <c r="AI190" s="86" t="s">
        <v>160</v>
      </c>
      <c r="AJ190" s="94">
        <f>AK190-AH190</f>
        <v>2006.8</v>
      </c>
      <c r="AK190" s="94">
        <f t="shared" si="9"/>
        <v>2010.8</v>
      </c>
      <c r="AL190" s="86" t="s">
        <v>255</v>
      </c>
      <c r="AM190" s="86"/>
      <c r="AN190" s="86" t="s">
        <v>44</v>
      </c>
      <c r="AO190" s="86">
        <v>2007.9</v>
      </c>
      <c r="AP190" s="86">
        <v>2008.5</v>
      </c>
      <c r="AQ190" s="86" t="s">
        <v>44</v>
      </c>
      <c r="AR190" s="86">
        <v>2008.5</v>
      </c>
      <c r="AS190" s="86">
        <v>2010.8</v>
      </c>
      <c r="AT190" s="86"/>
      <c r="AU190" s="86"/>
      <c r="AV190" s="86"/>
      <c r="AW190" s="86" t="s">
        <v>44</v>
      </c>
      <c r="AX190" s="86" t="s">
        <v>393</v>
      </c>
      <c r="AY190" s="86"/>
      <c r="AZ190" s="86"/>
      <c r="BA190" s="86"/>
      <c r="BB190" s="86"/>
      <c r="BC190" s="86" t="s">
        <v>44</v>
      </c>
      <c r="BD190" s="86">
        <v>2008.2</v>
      </c>
      <c r="BE190" s="86">
        <v>2010.1</v>
      </c>
      <c r="BF190" s="86" t="s">
        <v>182</v>
      </c>
      <c r="BG190" s="86">
        <v>2007.8</v>
      </c>
      <c r="BH190" s="86">
        <f>G190</f>
        <v>2010.8</v>
      </c>
      <c r="BI190" s="86">
        <f>BH190-BG190</f>
        <v>3</v>
      </c>
      <c r="BJ190" s="86" t="s">
        <v>368</v>
      </c>
      <c r="BK190" s="86" t="s">
        <v>149</v>
      </c>
    </row>
    <row r="191" spans="1:63" s="92" customFormat="1" x14ac:dyDescent="0.2">
      <c r="A191" s="86">
        <v>188</v>
      </c>
      <c r="B191" s="86" t="s">
        <v>63</v>
      </c>
      <c r="C191" s="130" t="s">
        <v>54</v>
      </c>
      <c r="D191" s="134" t="s">
        <v>301</v>
      </c>
      <c r="E191" s="88">
        <v>23.510204081632654</v>
      </c>
      <c r="F191" s="130">
        <v>1918.3</v>
      </c>
      <c r="G191" s="130">
        <v>2010.9</v>
      </c>
      <c r="H191" s="130" t="s">
        <v>47</v>
      </c>
      <c r="I191" s="86">
        <v>1.98</v>
      </c>
      <c r="J191" s="86">
        <v>2.2999999999999998</v>
      </c>
      <c r="K191" s="119">
        <v>1.0904359014043157</v>
      </c>
      <c r="L191" s="127">
        <v>1.9199999999999998E-2</v>
      </c>
      <c r="M191" s="88">
        <v>82.15739731485705</v>
      </c>
      <c r="N191" s="128">
        <v>19.2</v>
      </c>
      <c r="O191" s="86"/>
      <c r="P191" s="125">
        <f>K191</f>
        <v>1.0904359014043157</v>
      </c>
      <c r="Q191" s="134">
        <v>79</v>
      </c>
      <c r="R191" s="90">
        <v>100</v>
      </c>
      <c r="S191" s="86">
        <v>24.483333333333334</v>
      </c>
      <c r="T191" s="141">
        <v>21.610284167794319</v>
      </c>
      <c r="U191" s="86">
        <f t="shared" si="5"/>
        <v>2.8730491655390153</v>
      </c>
      <c r="V191" s="86" t="s">
        <v>151</v>
      </c>
      <c r="W191" s="134"/>
      <c r="X191" s="130" t="s">
        <v>152</v>
      </c>
      <c r="Y191" s="130" t="s">
        <v>166</v>
      </c>
      <c r="Z191" s="130" t="s">
        <v>166</v>
      </c>
      <c r="AA191" s="130"/>
      <c r="AB191" s="134" t="s">
        <v>301</v>
      </c>
      <c r="AC191" s="86" t="s">
        <v>160</v>
      </c>
      <c r="AD191" s="86"/>
      <c r="AE191" s="86"/>
      <c r="AF191" s="86"/>
      <c r="AG191" s="86"/>
      <c r="AH191" s="86">
        <v>0.25</v>
      </c>
      <c r="AI191" s="86" t="s">
        <v>160</v>
      </c>
      <c r="AJ191" s="94">
        <f>AK191-AH191</f>
        <v>2010.65</v>
      </c>
      <c r="AK191" s="94">
        <f t="shared" si="9"/>
        <v>2010.9</v>
      </c>
      <c r="AL191" s="124"/>
      <c r="AM191" s="86"/>
      <c r="AN191" s="86"/>
      <c r="AO191" s="86"/>
      <c r="AP191" s="86"/>
      <c r="AQ191" s="86"/>
      <c r="AR191" s="86"/>
      <c r="AS191" s="86"/>
      <c r="AT191" s="86"/>
      <c r="AU191" s="86"/>
      <c r="AV191" s="86"/>
      <c r="AW191" s="86"/>
      <c r="AX191" s="86"/>
      <c r="AY191" s="86"/>
      <c r="AZ191" s="86"/>
      <c r="BA191" s="86"/>
      <c r="BB191" s="86"/>
      <c r="BC191" s="86"/>
      <c r="BD191" s="86"/>
      <c r="BE191" s="86"/>
      <c r="BF191" s="86"/>
      <c r="BG191" s="86"/>
      <c r="BH191" s="86"/>
      <c r="BI191" s="86"/>
      <c r="BJ191" s="86"/>
      <c r="BK191" s="86" t="s">
        <v>149</v>
      </c>
    </row>
    <row r="192" spans="1:63" s="92" customFormat="1" x14ac:dyDescent="0.2">
      <c r="A192" s="86">
        <v>189</v>
      </c>
      <c r="B192" s="86" t="s">
        <v>63</v>
      </c>
      <c r="C192" s="86" t="s">
        <v>45</v>
      </c>
      <c r="D192" s="91" t="s">
        <v>301</v>
      </c>
      <c r="E192" s="88">
        <v>23.510204081632654</v>
      </c>
      <c r="F192" s="86">
        <v>1918.3</v>
      </c>
      <c r="G192" s="86">
        <v>2010.9</v>
      </c>
      <c r="H192" s="86" t="s">
        <v>47</v>
      </c>
      <c r="I192" s="86">
        <v>1.97</v>
      </c>
      <c r="J192" s="86">
        <v>2.2599999999999998</v>
      </c>
      <c r="K192" s="96">
        <v>0.99087586934475769</v>
      </c>
      <c r="L192" s="96">
        <v>2.6200000000000001E-2</v>
      </c>
      <c r="M192" s="88">
        <v>-16.646782767074207</v>
      </c>
      <c r="N192" s="97">
        <v>26.200000000000003</v>
      </c>
      <c r="O192" s="90"/>
      <c r="P192" s="89">
        <f>(K192-K191*(1-R192/100))*100/R192</f>
        <v>0.98884403195578696</v>
      </c>
      <c r="Q192" s="91" t="s">
        <v>302</v>
      </c>
      <c r="R192" s="134">
        <v>98</v>
      </c>
      <c r="S192" s="86">
        <v>12.466666666666667</v>
      </c>
      <c r="T192" s="88">
        <v>10.243572395128551</v>
      </c>
      <c r="U192" s="86">
        <f t="shared" si="5"/>
        <v>2.2230942715381161</v>
      </c>
      <c r="V192" s="86" t="s">
        <v>151</v>
      </c>
      <c r="W192" s="91"/>
      <c r="X192" s="86" t="s">
        <v>152</v>
      </c>
      <c r="Y192" s="86" t="s">
        <v>166</v>
      </c>
      <c r="Z192" s="86" t="s">
        <v>166</v>
      </c>
      <c r="AA192" s="86"/>
      <c r="AB192" s="91" t="s">
        <v>301</v>
      </c>
      <c r="AC192" s="86" t="s">
        <v>160</v>
      </c>
      <c r="AD192" s="86"/>
      <c r="AE192" s="86"/>
      <c r="AF192" s="86"/>
      <c r="AG192" s="86"/>
      <c r="AH192" s="86">
        <v>0.25</v>
      </c>
      <c r="AI192" s="86" t="s">
        <v>160</v>
      </c>
      <c r="AJ192" s="94">
        <f>AK192-AH192</f>
        <v>2010.65</v>
      </c>
      <c r="AK192" s="94">
        <f t="shared" si="9"/>
        <v>2010.9</v>
      </c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86"/>
      <c r="AW192" s="86"/>
      <c r="AX192" s="86"/>
      <c r="AY192" s="86"/>
      <c r="AZ192" s="86"/>
      <c r="BA192" s="86"/>
      <c r="BB192" s="86"/>
      <c r="BC192" s="86"/>
      <c r="BD192" s="86"/>
      <c r="BE192" s="86"/>
      <c r="BF192" s="86"/>
      <c r="BG192" s="86"/>
      <c r="BH192" s="86"/>
      <c r="BI192" s="86"/>
      <c r="BJ192" s="86"/>
      <c r="BK192" s="86" t="s">
        <v>149</v>
      </c>
    </row>
    <row r="193" spans="1:63" s="92" customFormat="1" x14ac:dyDescent="0.2">
      <c r="A193" s="86">
        <v>190</v>
      </c>
      <c r="B193" s="86" t="s">
        <v>63</v>
      </c>
      <c r="C193" s="134" t="s">
        <v>54</v>
      </c>
      <c r="D193" s="134" t="s">
        <v>303</v>
      </c>
      <c r="E193" s="88">
        <v>23.836734693877553</v>
      </c>
      <c r="F193" s="130">
        <v>1989.7</v>
      </c>
      <c r="G193" s="130">
        <v>2010.9</v>
      </c>
      <c r="H193" s="130" t="s">
        <v>47</v>
      </c>
      <c r="I193" s="86">
        <v>1.99</v>
      </c>
      <c r="J193" s="86">
        <v>2.2999999999999998</v>
      </c>
      <c r="K193" s="142">
        <v>1.1292755595787221</v>
      </c>
      <c r="L193" s="142">
        <v>1.44E-2</v>
      </c>
      <c r="M193" s="143">
        <v>120.70218784173269</v>
      </c>
      <c r="N193" s="144">
        <v>14.399999999999999</v>
      </c>
      <c r="O193" s="90"/>
      <c r="P193" s="125">
        <f>K193</f>
        <v>1.1292755595787221</v>
      </c>
      <c r="Q193" s="134">
        <v>38.799999999999997</v>
      </c>
      <c r="R193" s="90">
        <v>100</v>
      </c>
      <c r="S193" s="86">
        <v>50.699999999999996</v>
      </c>
      <c r="T193" s="143">
        <v>41.953089760938205</v>
      </c>
      <c r="U193" s="86">
        <f t="shared" si="5"/>
        <v>8.7469102390617905</v>
      </c>
      <c r="V193" s="86" t="s">
        <v>151</v>
      </c>
      <c r="W193" s="134"/>
      <c r="X193" s="86" t="s">
        <v>152</v>
      </c>
      <c r="Y193" s="86" t="s">
        <v>166</v>
      </c>
      <c r="Z193" s="86" t="s">
        <v>166</v>
      </c>
      <c r="AA193" s="86"/>
      <c r="AB193" s="134" t="s">
        <v>303</v>
      </c>
      <c r="AC193" s="86" t="s">
        <v>160</v>
      </c>
      <c r="AD193" s="86"/>
      <c r="AE193" s="86"/>
      <c r="AF193" s="86"/>
      <c r="AG193" s="86"/>
      <c r="AH193" s="86" t="s">
        <v>261</v>
      </c>
      <c r="AI193" s="86" t="s">
        <v>160</v>
      </c>
      <c r="AJ193" s="86" t="s">
        <v>261</v>
      </c>
      <c r="AK193" s="86" t="s">
        <v>261</v>
      </c>
      <c r="AL193" s="124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 s="86"/>
      <c r="BH193" s="86"/>
      <c r="BI193" s="86"/>
      <c r="BJ193" s="86" t="s">
        <v>369</v>
      </c>
      <c r="BK193" s="86" t="s">
        <v>149</v>
      </c>
    </row>
    <row r="194" spans="1:63" s="92" customFormat="1" x14ac:dyDescent="0.2">
      <c r="A194" s="86">
        <v>191</v>
      </c>
      <c r="B194" s="93" t="s">
        <v>63</v>
      </c>
      <c r="C194" s="134" t="s">
        <v>45</v>
      </c>
      <c r="D194" s="134" t="s">
        <v>304</v>
      </c>
      <c r="E194" s="86">
        <v>25.1</v>
      </c>
      <c r="F194" s="135">
        <v>1947.5</v>
      </c>
      <c r="G194" s="134">
        <v>2010.9</v>
      </c>
      <c r="H194" s="145" t="s">
        <v>47</v>
      </c>
      <c r="I194" s="134">
        <v>1.98</v>
      </c>
      <c r="J194" s="134">
        <v>2.06</v>
      </c>
      <c r="K194" s="142">
        <v>1.0432115910792255</v>
      </c>
      <c r="L194" s="142">
        <v>1.9400000000000001E-2</v>
      </c>
      <c r="M194" s="143">
        <v>35.291610260730799</v>
      </c>
      <c r="N194" s="144">
        <v>19.399999999999999</v>
      </c>
      <c r="O194" s="90"/>
      <c r="P194" s="66">
        <f>(K194-1.093087911*(1-R194/100))*100/R194</f>
        <v>1.0416690244837377</v>
      </c>
      <c r="Q194" s="134" t="s">
        <v>305</v>
      </c>
      <c r="R194" s="113">
        <v>97</v>
      </c>
      <c r="S194" s="94">
        <v>15.416666666666666</v>
      </c>
      <c r="T194" s="143">
        <v>14.844384303112314</v>
      </c>
      <c r="U194" s="86">
        <f t="shared" si="5"/>
        <v>0.57228236355435236</v>
      </c>
      <c r="V194" s="86" t="s">
        <v>48</v>
      </c>
      <c r="W194" s="134"/>
      <c r="X194" s="86" t="s">
        <v>306</v>
      </c>
      <c r="Y194" s="86" t="s">
        <v>253</v>
      </c>
      <c r="Z194" s="86" t="s">
        <v>253</v>
      </c>
      <c r="AA194" s="86"/>
      <c r="AB194" s="134" t="s">
        <v>304</v>
      </c>
      <c r="AC194" s="86" t="s">
        <v>153</v>
      </c>
      <c r="AD194" s="86"/>
      <c r="AE194" s="86"/>
      <c r="AF194" s="86"/>
      <c r="AG194" s="86"/>
      <c r="AH194" s="86">
        <f>AK194-AJ194</f>
        <v>9.4000000000000909</v>
      </c>
      <c r="AI194" s="86" t="s">
        <v>397</v>
      </c>
      <c r="AJ194" s="86">
        <v>2001.5</v>
      </c>
      <c r="AK194" s="86">
        <f>G194</f>
        <v>2010.9</v>
      </c>
      <c r="AL194" s="124" t="s">
        <v>255</v>
      </c>
      <c r="AM194" s="86"/>
      <c r="AN194" s="86" t="s">
        <v>44</v>
      </c>
      <c r="AO194" s="86">
        <v>2005.8</v>
      </c>
      <c r="AP194" s="86">
        <v>2009.5</v>
      </c>
      <c r="AQ194" s="86"/>
      <c r="AR194" s="86"/>
      <c r="AS194" s="86"/>
      <c r="AT194" s="86"/>
      <c r="AU194" s="86"/>
      <c r="AV194" s="86"/>
      <c r="AW194" s="86"/>
      <c r="AX194" s="86"/>
      <c r="AY194" s="86"/>
      <c r="AZ194" s="86" t="s">
        <v>44</v>
      </c>
      <c r="BA194" s="86">
        <v>2005.8</v>
      </c>
      <c r="BB194" s="86">
        <v>2008.9</v>
      </c>
      <c r="BC194" s="86" t="s">
        <v>44</v>
      </c>
      <c r="BD194" s="86">
        <v>2005.6</v>
      </c>
      <c r="BE194" s="86">
        <v>2009</v>
      </c>
      <c r="BF194" s="86" t="s">
        <v>182</v>
      </c>
      <c r="BG194" s="86">
        <v>2005.8</v>
      </c>
      <c r="BH194" s="86">
        <f>G194</f>
        <v>2010.9</v>
      </c>
      <c r="BI194" s="86">
        <f>BH194-BG194</f>
        <v>5.1000000000001364</v>
      </c>
      <c r="BJ194" s="86" t="s">
        <v>307</v>
      </c>
      <c r="BK194" s="86" t="s">
        <v>149</v>
      </c>
    </row>
    <row r="195" spans="1:63" s="92" customFormat="1" x14ac:dyDescent="0.2">
      <c r="A195" s="86">
        <v>192</v>
      </c>
      <c r="B195" s="86" t="s">
        <v>63</v>
      </c>
      <c r="C195" s="130" t="s">
        <v>54</v>
      </c>
      <c r="D195" s="134" t="s">
        <v>308</v>
      </c>
      <c r="E195" s="86">
        <v>20.5</v>
      </c>
      <c r="F195" s="130">
        <v>1958.6</v>
      </c>
      <c r="G195" s="130">
        <v>2010.9</v>
      </c>
      <c r="H195" s="130" t="s">
        <v>69</v>
      </c>
      <c r="I195" s="130">
        <v>1.98</v>
      </c>
      <c r="J195" s="130">
        <v>2.31</v>
      </c>
      <c r="K195" s="142">
        <v>1.1575176501532214</v>
      </c>
      <c r="L195" s="142">
        <v>2.07E-2</v>
      </c>
      <c r="M195" s="143">
        <v>148.72986667317156</v>
      </c>
      <c r="N195" s="144">
        <v>20.7</v>
      </c>
      <c r="O195" s="86"/>
      <c r="P195" s="125">
        <f>K195</f>
        <v>1.1575176501532214</v>
      </c>
      <c r="Q195" s="134" t="s">
        <v>309</v>
      </c>
      <c r="R195" s="90">
        <v>100</v>
      </c>
      <c r="S195" s="86">
        <v>47.316666666666663</v>
      </c>
      <c r="T195" s="143">
        <v>46.95985566080288</v>
      </c>
      <c r="U195" s="86">
        <f t="shared" si="5"/>
        <v>0.35681100586378278</v>
      </c>
      <c r="V195" s="86" t="s">
        <v>151</v>
      </c>
      <c r="W195" s="134"/>
      <c r="X195" s="86" t="s">
        <v>152</v>
      </c>
      <c r="Y195" s="86" t="s">
        <v>166</v>
      </c>
      <c r="Z195" s="86" t="s">
        <v>166</v>
      </c>
      <c r="AA195" s="86"/>
      <c r="AB195" s="134" t="s">
        <v>308</v>
      </c>
      <c r="AC195" s="86" t="s">
        <v>160</v>
      </c>
      <c r="AD195" s="86"/>
      <c r="AE195" s="86"/>
      <c r="AF195" s="86"/>
      <c r="AG195" s="86"/>
      <c r="AH195" s="99">
        <v>3</v>
      </c>
      <c r="AI195" s="86" t="s">
        <v>217</v>
      </c>
      <c r="AJ195" s="99">
        <f>AK195-AH195</f>
        <v>2007.9</v>
      </c>
      <c r="AK195" s="94">
        <f>G195</f>
        <v>2010.9</v>
      </c>
      <c r="AL195" s="124" t="s">
        <v>255</v>
      </c>
      <c r="AM195" s="86"/>
      <c r="AN195" s="86"/>
      <c r="AO195" s="86"/>
      <c r="AP195" s="86"/>
      <c r="AQ195" s="86"/>
      <c r="AR195" s="86"/>
      <c r="AS195" s="86"/>
      <c r="AT195" s="86"/>
      <c r="AU195" s="86"/>
      <c r="AV195" s="86"/>
      <c r="AW195" s="86" t="s">
        <v>44</v>
      </c>
      <c r="AX195" s="86" t="s">
        <v>394</v>
      </c>
      <c r="AY195" s="86" t="s">
        <v>395</v>
      </c>
      <c r="AZ195" s="86"/>
      <c r="BA195" s="86"/>
      <c r="BB195" s="86"/>
      <c r="BC195" s="86" t="s">
        <v>44</v>
      </c>
      <c r="BD195" s="86">
        <v>2009.8</v>
      </c>
      <c r="BE195" s="86">
        <v>2010.9</v>
      </c>
      <c r="BF195" s="86" t="s">
        <v>182</v>
      </c>
      <c r="BG195" s="86">
        <v>2008.5</v>
      </c>
      <c r="BH195" s="86">
        <f>G195</f>
        <v>2010.9</v>
      </c>
      <c r="BI195" s="86">
        <f>BH195-BG195</f>
        <v>2.4000000000000909</v>
      </c>
      <c r="BJ195" s="86" t="s">
        <v>310</v>
      </c>
      <c r="BK195" s="86" t="s">
        <v>149</v>
      </c>
    </row>
    <row r="196" spans="1:63" s="92" customFormat="1" x14ac:dyDescent="0.2">
      <c r="A196" s="86">
        <v>193</v>
      </c>
      <c r="B196" s="86" t="s">
        <v>63</v>
      </c>
      <c r="C196" s="130" t="s">
        <v>45</v>
      </c>
      <c r="D196" s="134" t="s">
        <v>308</v>
      </c>
      <c r="E196" s="86">
        <v>20.5</v>
      </c>
      <c r="F196" s="130">
        <v>1958.6</v>
      </c>
      <c r="G196" s="130">
        <v>2010.9</v>
      </c>
      <c r="H196" s="130" t="s">
        <v>69</v>
      </c>
      <c r="I196" s="86">
        <v>1.97</v>
      </c>
      <c r="J196" s="86">
        <v>2.2799999999999998</v>
      </c>
      <c r="K196" s="142">
        <v>1.0823764624413459</v>
      </c>
      <c r="L196" s="142">
        <v>1.78E-2</v>
      </c>
      <c r="M196" s="143">
        <v>74.159144982231638</v>
      </c>
      <c r="N196" s="144">
        <v>17.8</v>
      </c>
      <c r="O196" s="90"/>
      <c r="P196" s="89">
        <f>(K196-K195*(1-R196/100))*100/R196</f>
        <v>1.0792455796200178</v>
      </c>
      <c r="Q196" s="134" t="s">
        <v>311</v>
      </c>
      <c r="R196" s="113">
        <v>96</v>
      </c>
      <c r="S196" s="86">
        <v>21.650000000000002</v>
      </c>
      <c r="T196" s="143">
        <v>18.994136220117277</v>
      </c>
      <c r="U196" s="86">
        <f t="shared" ref="U196:U241" si="10">S196-T196</f>
        <v>2.6558637798827256</v>
      </c>
      <c r="V196" s="86" t="s">
        <v>151</v>
      </c>
      <c r="W196" s="134"/>
      <c r="X196" s="86" t="s">
        <v>152</v>
      </c>
      <c r="Y196" s="86" t="s">
        <v>166</v>
      </c>
      <c r="Z196" s="86" t="s">
        <v>166</v>
      </c>
      <c r="AA196" s="86"/>
      <c r="AB196" s="134" t="s">
        <v>308</v>
      </c>
      <c r="AC196" s="86" t="s">
        <v>160</v>
      </c>
      <c r="AD196" s="86"/>
      <c r="AE196" s="86"/>
      <c r="AF196" s="86"/>
      <c r="AG196" s="86"/>
      <c r="AH196" s="99">
        <v>3</v>
      </c>
      <c r="AI196" s="86" t="s">
        <v>217</v>
      </c>
      <c r="AJ196" s="99">
        <f>AK196-AH196</f>
        <v>2007.9</v>
      </c>
      <c r="AK196" s="94">
        <f>G196</f>
        <v>2010.9</v>
      </c>
      <c r="AL196" s="124" t="s">
        <v>255</v>
      </c>
      <c r="AM196" s="86"/>
      <c r="AN196" s="86"/>
      <c r="AO196" s="86"/>
      <c r="AP196" s="86"/>
      <c r="AQ196" s="86"/>
      <c r="AR196" s="86"/>
      <c r="AS196" s="86"/>
      <c r="AT196" s="86"/>
      <c r="AU196" s="86"/>
      <c r="AV196" s="86"/>
      <c r="AW196" s="86" t="s">
        <v>44</v>
      </c>
      <c r="AX196" s="86" t="s">
        <v>394</v>
      </c>
      <c r="AY196" s="86" t="s">
        <v>395</v>
      </c>
      <c r="AZ196" s="86"/>
      <c r="BA196" s="86"/>
      <c r="BB196" s="86"/>
      <c r="BC196" s="86" t="s">
        <v>44</v>
      </c>
      <c r="BD196" s="86">
        <v>2009.8</v>
      </c>
      <c r="BE196" s="86">
        <v>2010.9</v>
      </c>
      <c r="BF196" s="86" t="s">
        <v>182</v>
      </c>
      <c r="BG196" s="86">
        <v>2008.5</v>
      </c>
      <c r="BH196" s="86">
        <f>G196</f>
        <v>2010.9</v>
      </c>
      <c r="BI196" s="86">
        <f>BH196-BG196</f>
        <v>2.4000000000000909</v>
      </c>
      <c r="BJ196" s="86" t="s">
        <v>310</v>
      </c>
      <c r="BK196" s="86" t="s">
        <v>149</v>
      </c>
    </row>
    <row r="197" spans="1:63" s="92" customFormat="1" x14ac:dyDescent="0.2">
      <c r="A197" s="86">
        <v>194</v>
      </c>
      <c r="B197" s="86" t="s">
        <v>63</v>
      </c>
      <c r="C197" s="134" t="s">
        <v>54</v>
      </c>
      <c r="D197" s="134" t="s">
        <v>312</v>
      </c>
      <c r="E197" s="88">
        <v>22.11584222166233</v>
      </c>
      <c r="F197" s="130">
        <v>1964.7</v>
      </c>
      <c r="G197" s="130">
        <v>2011</v>
      </c>
      <c r="H197" s="130" t="s">
        <v>47</v>
      </c>
      <c r="I197" s="86">
        <v>1.97</v>
      </c>
      <c r="J197" s="86">
        <v>2.31</v>
      </c>
      <c r="K197" s="142">
        <v>1.4258542260042235</v>
      </c>
      <c r="L197" s="142">
        <v>2.3799999999999998E-2</v>
      </c>
      <c r="M197" s="143">
        <v>415.02925222470475</v>
      </c>
      <c r="N197" s="144">
        <v>23.799999999999997</v>
      </c>
      <c r="O197" s="90"/>
      <c r="P197" s="125">
        <f>K197</f>
        <v>1.4258542260042235</v>
      </c>
      <c r="Q197" s="134">
        <v>54</v>
      </c>
      <c r="R197" s="90">
        <v>100</v>
      </c>
      <c r="S197" s="86">
        <v>22.233333333333334</v>
      </c>
      <c r="T197" s="143">
        <v>18.137122237257554</v>
      </c>
      <c r="U197" s="86">
        <f t="shared" si="10"/>
        <v>4.0962110960757805</v>
      </c>
      <c r="V197" s="86" t="s">
        <v>151</v>
      </c>
      <c r="W197" s="134"/>
      <c r="X197" s="86" t="s">
        <v>152</v>
      </c>
      <c r="Y197" s="86" t="s">
        <v>166</v>
      </c>
      <c r="Z197" s="86" t="s">
        <v>166</v>
      </c>
      <c r="AA197" s="86" t="s">
        <v>51</v>
      </c>
      <c r="AB197" s="134" t="s">
        <v>312</v>
      </c>
      <c r="AC197" s="86" t="s">
        <v>160</v>
      </c>
      <c r="AD197" s="86" t="s">
        <v>261</v>
      </c>
      <c r="AE197" s="86" t="s">
        <v>153</v>
      </c>
      <c r="AF197" s="86">
        <v>2011</v>
      </c>
      <c r="AG197" s="86">
        <f>G197</f>
        <v>2011</v>
      </c>
      <c r="AH197" s="86" t="s">
        <v>261</v>
      </c>
      <c r="AI197" s="86" t="s">
        <v>160</v>
      </c>
      <c r="AJ197" s="86" t="s">
        <v>261</v>
      </c>
      <c r="AK197" s="86" t="s">
        <v>261</v>
      </c>
      <c r="AL197" s="124"/>
      <c r="AM197" s="86"/>
      <c r="AN197" s="86"/>
      <c r="AO197" s="86"/>
      <c r="AP197" s="86"/>
      <c r="AQ197" s="86"/>
      <c r="AR197" s="86"/>
      <c r="AS197" s="86"/>
      <c r="AT197" s="86"/>
      <c r="AU197" s="86"/>
      <c r="AV197" s="86"/>
      <c r="AW197" s="86"/>
      <c r="AX197" s="86"/>
      <c r="AY197" s="86"/>
      <c r="AZ197" s="86"/>
      <c r="BA197" s="86"/>
      <c r="BB197" s="86"/>
      <c r="BC197" s="86"/>
      <c r="BD197" s="86"/>
      <c r="BE197" s="86"/>
      <c r="BF197" s="86"/>
      <c r="BG197" s="86"/>
      <c r="BH197" s="86"/>
      <c r="BI197" s="86"/>
      <c r="BJ197" s="86"/>
      <c r="BK197" s="86" t="s">
        <v>149</v>
      </c>
    </row>
    <row r="198" spans="1:63" s="92" customFormat="1" x14ac:dyDescent="0.2">
      <c r="A198" s="86">
        <v>195</v>
      </c>
      <c r="B198" s="86" t="s">
        <v>63</v>
      </c>
      <c r="C198" s="134" t="s">
        <v>45</v>
      </c>
      <c r="D198" s="134" t="s">
        <v>312</v>
      </c>
      <c r="E198" s="88">
        <v>22.11584222166233</v>
      </c>
      <c r="F198" s="130">
        <v>1964.7</v>
      </c>
      <c r="G198" s="130">
        <v>2011</v>
      </c>
      <c r="H198" s="130" t="s">
        <v>47</v>
      </c>
      <c r="I198" s="86">
        <v>1.96</v>
      </c>
      <c r="J198" s="86">
        <v>2.11</v>
      </c>
      <c r="K198" s="142">
        <v>1.5349476120007821</v>
      </c>
      <c r="L198" s="142">
        <v>2.5000000000000001E-2</v>
      </c>
      <c r="M198" s="143">
        <v>523.29440976607168</v>
      </c>
      <c r="N198" s="144">
        <v>25</v>
      </c>
      <c r="O198" s="90"/>
      <c r="P198" s="89">
        <f>(K198-K197*(1-R198/100))*100/R198</f>
        <v>1.5383216342480983</v>
      </c>
      <c r="Q198" s="134">
        <v>14</v>
      </c>
      <c r="R198" s="134">
        <v>97</v>
      </c>
      <c r="S198" s="86">
        <v>23.583333333333332</v>
      </c>
      <c r="T198" s="143">
        <v>21.249436175011276</v>
      </c>
      <c r="U198" s="86">
        <f t="shared" si="10"/>
        <v>2.3338971583220562</v>
      </c>
      <c r="V198" s="86" t="s">
        <v>151</v>
      </c>
      <c r="W198" s="134"/>
      <c r="X198" s="86" t="s">
        <v>152</v>
      </c>
      <c r="Y198" s="86" t="s">
        <v>166</v>
      </c>
      <c r="Z198" s="86" t="s">
        <v>166</v>
      </c>
      <c r="AA198" s="86" t="s">
        <v>51</v>
      </c>
      <c r="AB198" s="134" t="s">
        <v>312</v>
      </c>
      <c r="AC198" s="86" t="s">
        <v>160</v>
      </c>
      <c r="AD198" s="86" t="s">
        <v>261</v>
      </c>
      <c r="AE198" s="86" t="s">
        <v>153</v>
      </c>
      <c r="AF198" s="86">
        <v>2011</v>
      </c>
      <c r="AG198" s="86">
        <f>G198</f>
        <v>2011</v>
      </c>
      <c r="AH198" s="86" t="s">
        <v>261</v>
      </c>
      <c r="AI198" s="86" t="s">
        <v>160</v>
      </c>
      <c r="AJ198" s="86" t="s">
        <v>261</v>
      </c>
      <c r="AK198" s="86" t="s">
        <v>261</v>
      </c>
      <c r="AL198" s="124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/>
      <c r="BK198" s="86" t="s">
        <v>149</v>
      </c>
    </row>
    <row r="199" spans="1:63" s="92" customFormat="1" x14ac:dyDescent="0.2">
      <c r="A199" s="86">
        <v>196</v>
      </c>
      <c r="B199" s="86" t="s">
        <v>63</v>
      </c>
      <c r="C199" s="134" t="s">
        <v>54</v>
      </c>
      <c r="D199" s="134" t="s">
        <v>313</v>
      </c>
      <c r="E199" s="88">
        <v>19.113573407202217</v>
      </c>
      <c r="F199" s="130">
        <v>1992.5</v>
      </c>
      <c r="G199" s="130">
        <v>2011.3</v>
      </c>
      <c r="H199" s="130" t="s">
        <v>47</v>
      </c>
      <c r="I199" s="86">
        <v>1.96</v>
      </c>
      <c r="J199" s="86">
        <v>2.35</v>
      </c>
      <c r="K199" s="142">
        <v>1.1218813983448397</v>
      </c>
      <c r="L199" s="142">
        <v>1.5800000000000002E-2</v>
      </c>
      <c r="M199" s="143">
        <v>113.3641625017019</v>
      </c>
      <c r="N199" s="144">
        <v>15.8</v>
      </c>
      <c r="O199" s="86"/>
      <c r="P199" s="125">
        <f>K199</f>
        <v>1.1218813983448397</v>
      </c>
      <c r="Q199" s="134">
        <v>76</v>
      </c>
      <c r="R199" s="90">
        <v>100</v>
      </c>
      <c r="S199" s="86">
        <v>44.65</v>
      </c>
      <c r="T199" s="143">
        <v>44.479025710419485</v>
      </c>
      <c r="U199" s="86">
        <f t="shared" si="10"/>
        <v>0.17097428958051353</v>
      </c>
      <c r="V199" s="86" t="s">
        <v>151</v>
      </c>
      <c r="W199" s="134"/>
      <c r="X199" s="86" t="s">
        <v>152</v>
      </c>
      <c r="Y199" s="86" t="s">
        <v>166</v>
      </c>
      <c r="Z199" s="86" t="s">
        <v>166</v>
      </c>
      <c r="AA199" s="86"/>
      <c r="AB199" s="134" t="s">
        <v>313</v>
      </c>
      <c r="AC199" s="86" t="s">
        <v>190</v>
      </c>
      <c r="AD199" s="86" t="s">
        <v>261</v>
      </c>
      <c r="AE199" s="86" t="s">
        <v>160</v>
      </c>
      <c r="AF199" s="86" t="s">
        <v>261</v>
      </c>
      <c r="AG199" s="86" t="s">
        <v>261</v>
      </c>
      <c r="AH199" s="86"/>
      <c r="AI199" s="86"/>
      <c r="AJ199" s="86"/>
      <c r="AK199" s="86"/>
      <c r="AL199" s="124"/>
      <c r="AM199" s="86"/>
      <c r="AN199" s="86"/>
      <c r="AO199" s="86"/>
      <c r="AP199" s="86"/>
      <c r="AQ199" s="86"/>
      <c r="AR199" s="86"/>
      <c r="AS199" s="86"/>
      <c r="AT199" s="86"/>
      <c r="AU199" s="86"/>
      <c r="AV199" s="86"/>
      <c r="AW199" s="86"/>
      <c r="AX199" s="86"/>
      <c r="AY199" s="86"/>
      <c r="AZ199" s="86"/>
      <c r="BA199" s="86"/>
      <c r="BB199" s="86"/>
      <c r="BC199" s="86"/>
      <c r="BD199" s="86"/>
      <c r="BE199" s="86"/>
      <c r="BF199" s="86"/>
      <c r="BG199" s="86"/>
      <c r="BH199" s="86"/>
      <c r="BI199" s="86"/>
      <c r="BJ199" s="86"/>
      <c r="BK199" s="86" t="s">
        <v>149</v>
      </c>
    </row>
    <row r="200" spans="1:63" s="92" customFormat="1" x14ac:dyDescent="0.2">
      <c r="A200" s="86">
        <v>197</v>
      </c>
      <c r="B200" s="86" t="s">
        <v>63</v>
      </c>
      <c r="C200" s="134" t="s">
        <v>45</v>
      </c>
      <c r="D200" s="134" t="s">
        <v>313</v>
      </c>
      <c r="E200" s="88">
        <v>19.113573407202217</v>
      </c>
      <c r="F200" s="130">
        <v>1992.5</v>
      </c>
      <c r="G200" s="130">
        <v>2011.3</v>
      </c>
      <c r="H200" s="130" t="s">
        <v>47</v>
      </c>
      <c r="I200" s="86">
        <v>1.95</v>
      </c>
      <c r="J200" s="86">
        <v>2.17</v>
      </c>
      <c r="K200" s="142">
        <v>0.77929741133927299</v>
      </c>
      <c r="L200" s="142">
        <v>1.3999999999999999E-2</v>
      </c>
      <c r="M200" s="143">
        <v>-226.61895366518837</v>
      </c>
      <c r="N200" s="144">
        <v>14</v>
      </c>
      <c r="O200" s="90"/>
      <c r="P200" s="89">
        <f>(K200-K199*(1-R200/100))*100/R200</f>
        <v>0.76502307854737428</v>
      </c>
      <c r="Q200" s="134">
        <v>21.7</v>
      </c>
      <c r="R200" s="134">
        <v>96</v>
      </c>
      <c r="S200" s="86">
        <v>26.733333333333334</v>
      </c>
      <c r="T200" s="143">
        <v>26.526838069463238</v>
      </c>
      <c r="U200" s="86">
        <f t="shared" si="10"/>
        <v>0.20649526387009587</v>
      </c>
      <c r="V200" s="86" t="s">
        <v>151</v>
      </c>
      <c r="W200" s="134"/>
      <c r="X200" s="86" t="s">
        <v>152</v>
      </c>
      <c r="Y200" s="86" t="s">
        <v>166</v>
      </c>
      <c r="Z200" s="86" t="s">
        <v>166</v>
      </c>
      <c r="AA200" s="86"/>
      <c r="AB200" s="134" t="s">
        <v>313</v>
      </c>
      <c r="AC200" s="86" t="s">
        <v>190</v>
      </c>
      <c r="AD200" s="86" t="s">
        <v>261</v>
      </c>
      <c r="AE200" s="86" t="s">
        <v>160</v>
      </c>
      <c r="AF200" s="86" t="s">
        <v>261</v>
      </c>
      <c r="AG200" s="86" t="s">
        <v>261</v>
      </c>
      <c r="AH200" s="86"/>
      <c r="AI200" s="86"/>
      <c r="AJ200" s="86"/>
      <c r="AK200" s="86"/>
      <c r="AL200" s="124"/>
      <c r="AM200" s="86"/>
      <c r="AN200" s="86"/>
      <c r="AO200" s="86"/>
      <c r="AP200" s="86"/>
      <c r="AQ200" s="86"/>
      <c r="AR200" s="86"/>
      <c r="AS200" s="86"/>
      <c r="AT200" s="86"/>
      <c r="AU200" s="86"/>
      <c r="AV200" s="86"/>
      <c r="AW200" s="86"/>
      <c r="AX200" s="86"/>
      <c r="AY200" s="86"/>
      <c r="AZ200" s="86"/>
      <c r="BA200" s="86"/>
      <c r="BB200" s="86"/>
      <c r="BC200" s="86"/>
      <c r="BD200" s="86"/>
      <c r="BE200" s="86"/>
      <c r="BF200" s="86"/>
      <c r="BG200" s="86"/>
      <c r="BH200" s="86"/>
      <c r="BI200" s="86"/>
      <c r="BJ200" s="86"/>
      <c r="BK200" s="86" t="s">
        <v>149</v>
      </c>
    </row>
    <row r="201" spans="1:63" s="92" customFormat="1" x14ac:dyDescent="0.2">
      <c r="A201" s="86">
        <v>198</v>
      </c>
      <c r="B201" s="86" t="s">
        <v>63</v>
      </c>
      <c r="C201" s="134" t="s">
        <v>54</v>
      </c>
      <c r="D201" s="134" t="s">
        <v>314</v>
      </c>
      <c r="E201" s="86">
        <v>27.7</v>
      </c>
      <c r="F201" s="130">
        <v>1959.7</v>
      </c>
      <c r="G201" s="130">
        <v>2011.3</v>
      </c>
      <c r="H201" s="130" t="s">
        <v>47</v>
      </c>
      <c r="I201" s="86">
        <v>1.9</v>
      </c>
      <c r="J201" s="86">
        <v>2.19</v>
      </c>
      <c r="K201" s="142">
        <v>1.2197113915208981</v>
      </c>
      <c r="L201" s="142">
        <v>1.4999999999999999E-2</v>
      </c>
      <c r="M201" s="143">
        <v>210.45143802004483</v>
      </c>
      <c r="N201" s="144">
        <v>15</v>
      </c>
      <c r="O201" s="90"/>
      <c r="P201" s="125">
        <f>K201</f>
        <v>1.2197113915208981</v>
      </c>
      <c r="Q201" s="134">
        <v>85.9</v>
      </c>
      <c r="R201" s="90">
        <v>100</v>
      </c>
      <c r="S201" s="86">
        <v>122.2</v>
      </c>
      <c r="T201" s="143">
        <v>102.03428055931438</v>
      </c>
      <c r="U201" s="86">
        <f t="shared" si="10"/>
        <v>20.165719440685621</v>
      </c>
      <c r="V201" s="86" t="s">
        <v>151</v>
      </c>
      <c r="W201" s="134"/>
      <c r="X201" s="86" t="s">
        <v>152</v>
      </c>
      <c r="Y201" s="86" t="s">
        <v>248</v>
      </c>
      <c r="Z201" s="86" t="s">
        <v>166</v>
      </c>
      <c r="AA201" s="86" t="s">
        <v>287</v>
      </c>
      <c r="AB201" s="134" t="s">
        <v>314</v>
      </c>
      <c r="AC201" s="86" t="s">
        <v>315</v>
      </c>
      <c r="AD201" s="86">
        <f>AG201-AF201</f>
        <v>6</v>
      </c>
      <c r="AE201" s="86" t="s">
        <v>315</v>
      </c>
      <c r="AF201" s="86">
        <v>2005.3</v>
      </c>
      <c r="AG201" s="86">
        <f>G201</f>
        <v>2011.3</v>
      </c>
      <c r="AH201" s="86">
        <v>0.5</v>
      </c>
      <c r="AI201" s="86" t="s">
        <v>160</v>
      </c>
      <c r="AJ201" s="99">
        <f>AK201-AH201</f>
        <v>2010.8</v>
      </c>
      <c r="AK201" s="94">
        <f>G201</f>
        <v>2011.3</v>
      </c>
      <c r="AL201" s="124"/>
      <c r="AM201" s="86"/>
      <c r="AN201" s="86"/>
      <c r="AO201" s="86"/>
      <c r="AP201" s="86"/>
      <c r="AQ201" s="86"/>
      <c r="AR201" s="86"/>
      <c r="AS201" s="86"/>
      <c r="AT201" s="86"/>
      <c r="AU201" s="86"/>
      <c r="AV201" s="86"/>
      <c r="AW201" s="86"/>
      <c r="AX201" s="86"/>
      <c r="AY201" s="86"/>
      <c r="AZ201" s="86"/>
      <c r="BA201" s="86"/>
      <c r="BB201" s="86"/>
      <c r="BC201" s="86" t="s">
        <v>44</v>
      </c>
      <c r="BD201" s="86">
        <v>2011.3</v>
      </c>
      <c r="BE201" s="86"/>
      <c r="BF201" s="86"/>
      <c r="BG201" s="86"/>
      <c r="BH201" s="86"/>
      <c r="BI201" s="86"/>
      <c r="BJ201" s="86"/>
      <c r="BK201" s="86" t="s">
        <v>149</v>
      </c>
    </row>
    <row r="202" spans="1:63" s="92" customFormat="1" x14ac:dyDescent="0.2">
      <c r="A202" s="86">
        <v>199</v>
      </c>
      <c r="B202" s="86" t="s">
        <v>63</v>
      </c>
      <c r="C202" s="130" t="s">
        <v>45</v>
      </c>
      <c r="D202" s="131" t="s">
        <v>316</v>
      </c>
      <c r="E202" s="99">
        <v>25</v>
      </c>
      <c r="F202" s="130">
        <v>1964.4</v>
      </c>
      <c r="G202" s="130">
        <v>2011.4</v>
      </c>
      <c r="H202" s="130" t="s">
        <v>47</v>
      </c>
      <c r="I202" s="86">
        <v>1.97</v>
      </c>
      <c r="J202" s="86">
        <v>2.34</v>
      </c>
      <c r="K202" s="130">
        <v>1.4416</v>
      </c>
      <c r="L202" s="130">
        <v>2.1399999999999999E-2</v>
      </c>
      <c r="M202" s="130">
        <v>430.9</v>
      </c>
      <c r="N202" s="130">
        <v>21</v>
      </c>
      <c r="O202" s="90"/>
      <c r="P202" s="66">
        <f>(K202-1.466445113*(1-R83/100))*100/96</f>
        <v>1.4558402568854165</v>
      </c>
      <c r="Q202" s="130">
        <v>13.95</v>
      </c>
      <c r="R202" s="90">
        <v>95.95</v>
      </c>
      <c r="S202" s="86">
        <v>20.5</v>
      </c>
      <c r="T202" s="143">
        <v>15.881822282363553</v>
      </c>
      <c r="U202" s="86">
        <f t="shared" si="10"/>
        <v>4.6181777176364474</v>
      </c>
      <c r="V202" s="86" t="s">
        <v>151</v>
      </c>
      <c r="W202" s="131"/>
      <c r="X202" s="86" t="s">
        <v>152</v>
      </c>
      <c r="Y202" s="86" t="s">
        <v>166</v>
      </c>
      <c r="Z202" s="86" t="s">
        <v>166</v>
      </c>
      <c r="AA202" s="86"/>
      <c r="AB202" s="131" t="s">
        <v>316</v>
      </c>
      <c r="AC202" s="86" t="s">
        <v>160</v>
      </c>
      <c r="AD202" s="86"/>
      <c r="AE202" s="86"/>
      <c r="AF202" s="86"/>
      <c r="AG202" s="86"/>
      <c r="AH202" s="86">
        <v>2</v>
      </c>
      <c r="AI202" s="86" t="s">
        <v>160</v>
      </c>
      <c r="AJ202" s="94">
        <f>AK202-AH202</f>
        <v>2009.4</v>
      </c>
      <c r="AK202" s="94">
        <f>G202</f>
        <v>2011.4</v>
      </c>
      <c r="AL202" s="124" t="s">
        <v>255</v>
      </c>
      <c r="AM202" s="86"/>
      <c r="AN202" s="86" t="s">
        <v>44</v>
      </c>
      <c r="AO202" s="86">
        <v>2009.8</v>
      </c>
      <c r="AP202" s="86">
        <v>2011.4</v>
      </c>
      <c r="AQ202" s="86" t="s">
        <v>44</v>
      </c>
      <c r="AR202" s="86">
        <v>2010</v>
      </c>
      <c r="AS202" s="86">
        <v>2011.4</v>
      </c>
      <c r="AT202" s="86" t="s">
        <v>44</v>
      </c>
      <c r="AU202" s="86">
        <v>2011.3</v>
      </c>
      <c r="AV202" s="86">
        <v>2011.4</v>
      </c>
      <c r="AW202" s="86"/>
      <c r="AX202" s="86"/>
      <c r="AY202" s="86"/>
      <c r="AZ202" s="86"/>
      <c r="BA202" s="86"/>
      <c r="BB202" s="86"/>
      <c r="BC202" s="86" t="s">
        <v>44</v>
      </c>
      <c r="BD202" s="86">
        <v>2010.2</v>
      </c>
      <c r="BE202" s="86">
        <v>2011.4</v>
      </c>
      <c r="BF202" s="86" t="s">
        <v>153</v>
      </c>
      <c r="BG202" s="86">
        <v>2009.8</v>
      </c>
      <c r="BH202" s="86">
        <f>G202</f>
        <v>2011.4</v>
      </c>
      <c r="BI202" s="86">
        <f t="shared" ref="BI202:BI208" si="11">BH202-BG202</f>
        <v>1.6000000000001364</v>
      </c>
      <c r="BJ202" s="86" t="s">
        <v>317</v>
      </c>
      <c r="BK202" s="86" t="s">
        <v>149</v>
      </c>
    </row>
    <row r="203" spans="1:63" s="92" customFormat="1" x14ac:dyDescent="0.2">
      <c r="A203" s="86">
        <v>200</v>
      </c>
      <c r="B203" s="86" t="s">
        <v>63</v>
      </c>
      <c r="C203" s="130" t="s">
        <v>54</v>
      </c>
      <c r="D203" s="152" t="s">
        <v>318</v>
      </c>
      <c r="E203" s="99">
        <v>24.86</v>
      </c>
      <c r="F203" s="130">
        <v>1970.1</v>
      </c>
      <c r="G203" s="130">
        <v>2011.4</v>
      </c>
      <c r="H203" s="130" t="s">
        <v>47</v>
      </c>
      <c r="I203" s="86">
        <v>1.99</v>
      </c>
      <c r="J203" s="86">
        <v>2.29</v>
      </c>
      <c r="K203" s="142">
        <v>1.3118482092575028</v>
      </c>
      <c r="L203" s="142">
        <v>1.84E-2</v>
      </c>
      <c r="M203" s="143">
        <v>301.88876024165398</v>
      </c>
      <c r="N203" s="144">
        <v>18.400000000000002</v>
      </c>
      <c r="O203" s="90"/>
      <c r="P203" s="125">
        <f>K203</f>
        <v>1.3118482092575028</v>
      </c>
      <c r="Q203" s="130">
        <v>30.3</v>
      </c>
      <c r="R203" s="90">
        <v>100</v>
      </c>
      <c r="S203" s="86">
        <v>35.383333333333333</v>
      </c>
      <c r="T203" s="143">
        <v>31.39828597203428</v>
      </c>
      <c r="U203" s="86">
        <f t="shared" si="10"/>
        <v>3.9850473612990527</v>
      </c>
      <c r="V203" s="86" t="s">
        <v>151</v>
      </c>
      <c r="W203" s="152"/>
      <c r="X203" s="86" t="s">
        <v>152</v>
      </c>
      <c r="Y203" s="86" t="s">
        <v>253</v>
      </c>
      <c r="Z203" s="86" t="s">
        <v>253</v>
      </c>
      <c r="AA203" s="86"/>
      <c r="AB203" s="152" t="s">
        <v>318</v>
      </c>
      <c r="AC203" s="86" t="s">
        <v>160</v>
      </c>
      <c r="AD203" s="86"/>
      <c r="AE203" s="86"/>
      <c r="AF203" s="86"/>
      <c r="AG203" s="86"/>
      <c r="AH203" s="86">
        <v>1.5</v>
      </c>
      <c r="AI203" s="86" t="s">
        <v>160</v>
      </c>
      <c r="AJ203" s="94">
        <f>F203+17</f>
        <v>1987.1</v>
      </c>
      <c r="AK203" s="94">
        <f>G203</f>
        <v>2011.4</v>
      </c>
      <c r="AL203" s="124" t="s">
        <v>255</v>
      </c>
      <c r="AM203" s="86"/>
      <c r="AN203" s="86" t="s">
        <v>44</v>
      </c>
      <c r="AO203" s="86">
        <v>2006.5</v>
      </c>
      <c r="AP203" s="86">
        <v>2011.4</v>
      </c>
      <c r="AQ203" s="86"/>
      <c r="AR203" s="86"/>
      <c r="AS203" s="86"/>
      <c r="AT203" s="86"/>
      <c r="AU203" s="86"/>
      <c r="AV203" s="86"/>
      <c r="AW203" s="86" t="s">
        <v>44</v>
      </c>
      <c r="AX203" s="86">
        <v>2011.3</v>
      </c>
      <c r="AY203" s="86">
        <v>2011.4</v>
      </c>
      <c r="AZ203" s="86"/>
      <c r="BA203" s="86"/>
      <c r="BB203" s="86"/>
      <c r="BC203" s="86"/>
      <c r="BD203" s="86"/>
      <c r="BE203" s="86"/>
      <c r="BF203" s="86" t="s">
        <v>182</v>
      </c>
      <c r="BG203" s="86">
        <v>2006.5</v>
      </c>
      <c r="BH203" s="86">
        <v>2011.4</v>
      </c>
      <c r="BI203" s="86">
        <f t="shared" si="11"/>
        <v>4.9000000000000909</v>
      </c>
      <c r="BJ203" s="86"/>
      <c r="BK203" s="86" t="s">
        <v>149</v>
      </c>
    </row>
    <row r="204" spans="1:63" s="92" customFormat="1" x14ac:dyDescent="0.2">
      <c r="A204" s="86">
        <v>201</v>
      </c>
      <c r="B204" s="86" t="s">
        <v>63</v>
      </c>
      <c r="C204" s="130" t="s">
        <v>45</v>
      </c>
      <c r="D204" s="152" t="s">
        <v>318</v>
      </c>
      <c r="E204" s="99">
        <v>24.86</v>
      </c>
      <c r="F204" s="130">
        <v>1970.1</v>
      </c>
      <c r="G204" s="130">
        <v>2011.4</v>
      </c>
      <c r="H204" s="130" t="s">
        <v>47</v>
      </c>
      <c r="I204" s="86">
        <v>1.94</v>
      </c>
      <c r="J204" s="103">
        <v>1.95</v>
      </c>
      <c r="K204" s="142">
        <v>1.3084383625819174</v>
      </c>
      <c r="L204" s="142">
        <v>1.8600000000000002E-2</v>
      </c>
      <c r="M204" s="143">
        <v>298.5048008553739</v>
      </c>
      <c r="N204" s="144">
        <v>18.600000000000001</v>
      </c>
      <c r="O204" s="90"/>
      <c r="P204" s="89">
        <f>(K204-K203*(1-R204/100))*100/R204</f>
        <v>1.3082207127941139</v>
      </c>
      <c r="Q204" s="130">
        <v>8.1</v>
      </c>
      <c r="R204" s="113">
        <v>94</v>
      </c>
      <c r="S204" s="86">
        <v>25.116666666666664</v>
      </c>
      <c r="T204" s="143">
        <v>24.406856111862879</v>
      </c>
      <c r="U204" s="86">
        <f t="shared" si="10"/>
        <v>0.7098105548037843</v>
      </c>
      <c r="V204" s="86" t="s">
        <v>151</v>
      </c>
      <c r="W204" s="152"/>
      <c r="X204" s="86" t="s">
        <v>152</v>
      </c>
      <c r="Y204" s="86" t="s">
        <v>253</v>
      </c>
      <c r="Z204" s="86" t="s">
        <v>253</v>
      </c>
      <c r="AA204" s="86"/>
      <c r="AB204" s="152" t="s">
        <v>318</v>
      </c>
      <c r="AC204" s="86" t="s">
        <v>160</v>
      </c>
      <c r="AD204" s="86"/>
      <c r="AE204" s="86"/>
      <c r="AF204" s="86"/>
      <c r="AG204" s="86"/>
      <c r="AH204" s="86">
        <v>1.5</v>
      </c>
      <c r="AI204" s="86" t="s">
        <v>160</v>
      </c>
      <c r="AJ204" s="94">
        <f>F204+17</f>
        <v>1987.1</v>
      </c>
      <c r="AK204" s="94">
        <f>G204</f>
        <v>2011.4</v>
      </c>
      <c r="AL204" s="124" t="s">
        <v>255</v>
      </c>
      <c r="AM204" s="86"/>
      <c r="AN204" s="86" t="s">
        <v>44</v>
      </c>
      <c r="AO204" s="86">
        <v>2006.5</v>
      </c>
      <c r="AP204" s="86">
        <v>2011.4</v>
      </c>
      <c r="AQ204" s="86"/>
      <c r="AR204" s="86"/>
      <c r="AS204" s="86"/>
      <c r="AT204" s="86"/>
      <c r="AU204" s="86"/>
      <c r="AV204" s="86"/>
      <c r="AW204" s="86" t="s">
        <v>44</v>
      </c>
      <c r="AX204" s="86">
        <v>2011.3</v>
      </c>
      <c r="AY204" s="86">
        <v>2011.4</v>
      </c>
      <c r="AZ204" s="86"/>
      <c r="BA204" s="86"/>
      <c r="BB204" s="86"/>
      <c r="BC204" s="86"/>
      <c r="BD204" s="86"/>
      <c r="BE204" s="86"/>
      <c r="BF204" s="86" t="s">
        <v>182</v>
      </c>
      <c r="BG204" s="86">
        <v>2006.5</v>
      </c>
      <c r="BH204" s="86">
        <v>2011.4</v>
      </c>
      <c r="BI204" s="86">
        <f t="shared" si="11"/>
        <v>4.9000000000000909</v>
      </c>
      <c r="BJ204" s="86"/>
      <c r="BK204" s="86" t="s">
        <v>149</v>
      </c>
    </row>
    <row r="205" spans="1:63" s="92" customFormat="1" x14ac:dyDescent="0.2">
      <c r="A205" s="86">
        <v>202</v>
      </c>
      <c r="B205" s="87" t="s">
        <v>44</v>
      </c>
      <c r="C205" s="86" t="s">
        <v>54</v>
      </c>
      <c r="D205" s="87" t="s">
        <v>319</v>
      </c>
      <c r="E205" s="99">
        <v>23.95</v>
      </c>
      <c r="F205" s="86">
        <v>1969.5</v>
      </c>
      <c r="G205" s="86">
        <v>2011.4</v>
      </c>
      <c r="H205" s="86" t="s">
        <v>69</v>
      </c>
      <c r="I205" s="86"/>
      <c r="J205" s="86"/>
      <c r="K205" s="96">
        <v>1.353709366877369</v>
      </c>
      <c r="L205" s="96">
        <v>1.2800000000000001E-2</v>
      </c>
      <c r="M205" s="88">
        <v>343.6321259328725</v>
      </c>
      <c r="N205" s="97">
        <v>12.8</v>
      </c>
      <c r="O205" s="86"/>
      <c r="P205" s="125">
        <f>K205</f>
        <v>1.353709366877369</v>
      </c>
      <c r="Q205" s="100">
        <v>65.150000000000006</v>
      </c>
      <c r="R205" s="90">
        <v>100</v>
      </c>
      <c r="S205" s="99">
        <v>56.354166666666664</v>
      </c>
      <c r="T205" s="88">
        <v>46.238159675236801</v>
      </c>
      <c r="U205" s="86">
        <f t="shared" si="10"/>
        <v>10.116006991429863</v>
      </c>
      <c r="V205" s="86" t="s">
        <v>180</v>
      </c>
      <c r="W205" s="87"/>
      <c r="X205" s="86" t="s">
        <v>211</v>
      </c>
      <c r="Y205" s="86" t="s">
        <v>253</v>
      </c>
      <c r="Z205" s="86" t="s">
        <v>253</v>
      </c>
      <c r="AA205" s="86"/>
      <c r="AB205" s="87" t="s">
        <v>319</v>
      </c>
      <c r="AC205" s="86" t="s">
        <v>360</v>
      </c>
      <c r="AD205" s="86"/>
      <c r="AE205" s="86"/>
      <c r="AF205" s="86"/>
      <c r="AG205" s="86"/>
      <c r="AH205" s="86" t="s">
        <v>261</v>
      </c>
      <c r="AI205" s="86" t="s">
        <v>182</v>
      </c>
      <c r="AJ205" s="86">
        <v>1997</v>
      </c>
      <c r="AK205" s="94">
        <f t="shared" ref="AK205" si="12">G205</f>
        <v>2011.4</v>
      </c>
      <c r="AL205" s="86" t="s">
        <v>255</v>
      </c>
      <c r="AM205" s="86"/>
      <c r="AN205" s="86" t="s">
        <v>44</v>
      </c>
      <c r="AO205" s="86">
        <v>2005.8</v>
      </c>
      <c r="AP205" s="86">
        <v>2011.4</v>
      </c>
      <c r="AQ205" s="86"/>
      <c r="AR205" s="86"/>
      <c r="AS205" s="86"/>
      <c r="AT205" s="86"/>
      <c r="AU205" s="86"/>
      <c r="AV205" s="86"/>
      <c r="AW205" s="86"/>
      <c r="AX205" s="86"/>
      <c r="AY205" s="86"/>
      <c r="AZ205" s="86"/>
      <c r="BA205" s="86"/>
      <c r="BB205" s="86"/>
      <c r="BC205" s="86"/>
      <c r="BD205" s="86"/>
      <c r="BE205" s="86"/>
      <c r="BF205" s="86" t="s">
        <v>182</v>
      </c>
      <c r="BG205" s="86">
        <v>2005.8</v>
      </c>
      <c r="BH205" s="86">
        <f t="shared" ref="BH205:BH214" si="13">G205</f>
        <v>2011.4</v>
      </c>
      <c r="BI205" s="86">
        <f t="shared" si="11"/>
        <v>5.6000000000001364</v>
      </c>
      <c r="BJ205" s="86" t="s">
        <v>402</v>
      </c>
      <c r="BK205" s="86" t="s">
        <v>149</v>
      </c>
    </row>
    <row r="206" spans="1:63" s="92" customFormat="1" x14ac:dyDescent="0.2">
      <c r="A206" s="86">
        <v>203</v>
      </c>
      <c r="B206" s="87" t="s">
        <v>44</v>
      </c>
      <c r="C206" s="130" t="s">
        <v>45</v>
      </c>
      <c r="D206" s="131" t="s">
        <v>319</v>
      </c>
      <c r="E206" s="99">
        <v>23.95</v>
      </c>
      <c r="F206" s="130">
        <v>1969.5</v>
      </c>
      <c r="G206" s="130">
        <v>2011.4</v>
      </c>
      <c r="H206" s="130" t="s">
        <v>69</v>
      </c>
      <c r="I206" s="86"/>
      <c r="J206" s="86"/>
      <c r="K206" s="142">
        <v>1.4006763566429936</v>
      </c>
      <c r="L206" s="142">
        <v>1.8799999999999997E-2</v>
      </c>
      <c r="M206" s="143">
        <v>390.24948550173065</v>
      </c>
      <c r="N206" s="144">
        <v>18.799999999999997</v>
      </c>
      <c r="O206" s="90"/>
      <c r="P206" s="89">
        <f>(K206-K205*(1-R206/100))*100/R206</f>
        <v>1.4019796544062739</v>
      </c>
      <c r="Q206" s="152">
        <v>27.05</v>
      </c>
      <c r="R206" s="90">
        <v>97.3</v>
      </c>
      <c r="S206" s="99">
        <v>13.429166666666667</v>
      </c>
      <c r="T206" s="143">
        <v>10.875056382498872</v>
      </c>
      <c r="U206" s="86">
        <f t="shared" si="10"/>
        <v>2.5541102841677947</v>
      </c>
      <c r="V206" s="86" t="s">
        <v>180</v>
      </c>
      <c r="W206" s="131"/>
      <c r="X206" s="86" t="s">
        <v>211</v>
      </c>
      <c r="Y206" s="86" t="s">
        <v>253</v>
      </c>
      <c r="Z206" s="86" t="s">
        <v>253</v>
      </c>
      <c r="AA206" s="86"/>
      <c r="AB206" s="131" t="s">
        <v>319</v>
      </c>
      <c r="AC206" s="86" t="s">
        <v>360</v>
      </c>
      <c r="AD206" s="86"/>
      <c r="AE206" s="86"/>
      <c r="AF206" s="86"/>
      <c r="AG206" s="86"/>
      <c r="AH206" s="86" t="s">
        <v>261</v>
      </c>
      <c r="AI206" s="86" t="s">
        <v>182</v>
      </c>
      <c r="AJ206" s="86">
        <v>1997</v>
      </c>
      <c r="AK206" s="94">
        <f>G206</f>
        <v>2011.4</v>
      </c>
      <c r="AL206" s="86" t="s">
        <v>255</v>
      </c>
      <c r="AM206" s="86"/>
      <c r="AN206" s="86" t="s">
        <v>44</v>
      </c>
      <c r="AO206" s="86">
        <v>2005.8</v>
      </c>
      <c r="AP206" s="86">
        <v>2011.4</v>
      </c>
      <c r="AQ206" s="86"/>
      <c r="AR206" s="86"/>
      <c r="AS206" s="86"/>
      <c r="AT206" s="86"/>
      <c r="AU206" s="86"/>
      <c r="AV206" s="86"/>
      <c r="AW206" s="86"/>
      <c r="AX206" s="86"/>
      <c r="AY206" s="86"/>
      <c r="AZ206" s="86"/>
      <c r="BA206" s="86"/>
      <c r="BB206" s="86"/>
      <c r="BC206" s="86"/>
      <c r="BD206" s="86"/>
      <c r="BE206" s="86"/>
      <c r="BF206" s="86" t="s">
        <v>182</v>
      </c>
      <c r="BG206" s="86">
        <v>2005.8</v>
      </c>
      <c r="BH206" s="86">
        <f t="shared" si="13"/>
        <v>2011.4</v>
      </c>
      <c r="BI206" s="86">
        <f t="shared" si="11"/>
        <v>5.6000000000001364</v>
      </c>
      <c r="BJ206" s="86" t="s">
        <v>402</v>
      </c>
      <c r="BK206" s="86" t="s">
        <v>149</v>
      </c>
    </row>
    <row r="207" spans="1:63" s="92" customFormat="1" x14ac:dyDescent="0.2">
      <c r="A207" s="86">
        <v>204</v>
      </c>
      <c r="B207" s="86" t="s">
        <v>63</v>
      </c>
      <c r="C207" s="130" t="s">
        <v>54</v>
      </c>
      <c r="D207" s="134" t="s">
        <v>320</v>
      </c>
      <c r="E207" s="99">
        <v>29.04</v>
      </c>
      <c r="F207" s="130">
        <v>1946</v>
      </c>
      <c r="G207" s="130">
        <v>2011.7</v>
      </c>
      <c r="H207" s="130" t="s">
        <v>47</v>
      </c>
      <c r="I207" s="86">
        <v>1.98</v>
      </c>
      <c r="J207" s="86">
        <v>2.31</v>
      </c>
      <c r="K207" s="142">
        <v>1.0411323341575773</v>
      </c>
      <c r="L207" s="142">
        <v>1.44E-2</v>
      </c>
      <c r="M207" s="143">
        <v>33.228138895030398</v>
      </c>
      <c r="N207" s="144">
        <v>14.399999999999999</v>
      </c>
      <c r="O207" s="86"/>
      <c r="P207" s="125">
        <f>K207</f>
        <v>1.0411323341575773</v>
      </c>
      <c r="Q207" s="134" t="s">
        <v>321</v>
      </c>
      <c r="R207" s="90">
        <v>100</v>
      </c>
      <c r="S207" s="86">
        <v>46.183333333333337</v>
      </c>
      <c r="T207" s="143">
        <v>43.622011727559766</v>
      </c>
      <c r="U207" s="86">
        <f t="shared" si="10"/>
        <v>2.5613216057735713</v>
      </c>
      <c r="V207" s="86" t="s">
        <v>48</v>
      </c>
      <c r="W207" s="134"/>
      <c r="X207" s="86" t="s">
        <v>174</v>
      </c>
      <c r="Y207" s="86" t="s">
        <v>376</v>
      </c>
      <c r="Z207" s="86" t="s">
        <v>370</v>
      </c>
      <c r="AA207" s="86"/>
      <c r="AB207" s="134" t="s">
        <v>320</v>
      </c>
      <c r="AC207" s="86" t="s">
        <v>160</v>
      </c>
      <c r="AD207" s="86"/>
      <c r="AE207" s="86"/>
      <c r="AF207" s="86"/>
      <c r="AG207" s="86"/>
      <c r="AH207" s="86">
        <v>2</v>
      </c>
      <c r="AI207" s="86" t="s">
        <v>371</v>
      </c>
      <c r="AJ207" s="86">
        <v>2005.6</v>
      </c>
      <c r="AK207" s="86">
        <f>AJ207+AH207</f>
        <v>2007.6</v>
      </c>
      <c r="AL207" s="124" t="s">
        <v>255</v>
      </c>
      <c r="AM207" s="86"/>
      <c r="AN207" s="86" t="s">
        <v>44</v>
      </c>
      <c r="AO207" s="86">
        <v>2007.4</v>
      </c>
      <c r="AP207" s="86">
        <v>2011.7</v>
      </c>
      <c r="AQ207" s="86"/>
      <c r="AR207" s="86"/>
      <c r="AS207" s="86"/>
      <c r="AT207" s="86" t="s">
        <v>44</v>
      </c>
      <c r="AU207" s="86">
        <v>2005.6</v>
      </c>
      <c r="AV207" s="86">
        <v>2006.9</v>
      </c>
      <c r="AW207" s="86"/>
      <c r="AX207" s="86"/>
      <c r="AY207" s="86"/>
      <c r="AZ207" s="86"/>
      <c r="BA207" s="86"/>
      <c r="BB207" s="86"/>
      <c r="BC207" s="86" t="s">
        <v>44</v>
      </c>
      <c r="BD207" s="86">
        <f>BE207-9</f>
        <v>2002.7</v>
      </c>
      <c r="BE207" s="86">
        <v>2011.7</v>
      </c>
      <c r="BF207" s="86" t="s">
        <v>288</v>
      </c>
      <c r="BG207" s="86">
        <v>2005.6</v>
      </c>
      <c r="BH207" s="86">
        <f t="shared" si="13"/>
        <v>2011.7</v>
      </c>
      <c r="BI207" s="86">
        <f t="shared" si="11"/>
        <v>6.1000000000001364</v>
      </c>
      <c r="BJ207" s="86" t="s">
        <v>322</v>
      </c>
      <c r="BK207" s="86" t="s">
        <v>149</v>
      </c>
    </row>
    <row r="208" spans="1:63" s="92" customFormat="1" x14ac:dyDescent="0.2">
      <c r="A208" s="86">
        <v>205</v>
      </c>
      <c r="B208" s="86" t="s">
        <v>63</v>
      </c>
      <c r="C208" s="130" t="s">
        <v>45</v>
      </c>
      <c r="D208" s="134" t="s">
        <v>320</v>
      </c>
      <c r="E208" s="99">
        <v>29.04</v>
      </c>
      <c r="F208" s="130">
        <v>1946</v>
      </c>
      <c r="G208" s="130">
        <v>2011.7</v>
      </c>
      <c r="H208" s="130" t="s">
        <v>47</v>
      </c>
      <c r="I208" s="86">
        <v>1.95</v>
      </c>
      <c r="J208" s="86">
        <v>2.17</v>
      </c>
      <c r="K208" s="142">
        <v>1.0314449060648783</v>
      </c>
      <c r="L208" s="142">
        <v>0.02</v>
      </c>
      <c r="M208" s="143">
        <v>23.614256998837124</v>
      </c>
      <c r="N208" s="144">
        <v>20</v>
      </c>
      <c r="O208" s="90"/>
      <c r="P208" s="89">
        <f>(K208-K207*(1-R208/100))*100/R208</f>
        <v>1.030659438922227</v>
      </c>
      <c r="Q208" s="134" t="s">
        <v>323</v>
      </c>
      <c r="R208" s="134">
        <v>92.5</v>
      </c>
      <c r="S208" s="86">
        <v>21.95</v>
      </c>
      <c r="T208" s="143">
        <v>19.625620207487597</v>
      </c>
      <c r="U208" s="86">
        <f t="shared" si="10"/>
        <v>2.3243797925124028</v>
      </c>
      <c r="V208" s="86" t="s">
        <v>48</v>
      </c>
      <c r="W208" s="134"/>
      <c r="X208" s="86" t="s">
        <v>174</v>
      </c>
      <c r="Y208" s="86" t="s">
        <v>376</v>
      </c>
      <c r="Z208" s="86" t="s">
        <v>370</v>
      </c>
      <c r="AA208" s="86"/>
      <c r="AB208" s="134" t="s">
        <v>320</v>
      </c>
      <c r="AC208" s="86" t="s">
        <v>160</v>
      </c>
      <c r="AD208" s="86"/>
      <c r="AE208" s="86"/>
      <c r="AF208" s="86"/>
      <c r="AG208" s="86"/>
      <c r="AH208" s="86">
        <v>2</v>
      </c>
      <c r="AI208" s="86" t="s">
        <v>371</v>
      </c>
      <c r="AJ208" s="86">
        <v>2005.6</v>
      </c>
      <c r="AK208" s="86">
        <f>AJ208+AH208</f>
        <v>2007.6</v>
      </c>
      <c r="AL208" s="124" t="s">
        <v>255</v>
      </c>
      <c r="AM208" s="86"/>
      <c r="AN208" s="86" t="s">
        <v>44</v>
      </c>
      <c r="AO208" s="86">
        <v>2007.4</v>
      </c>
      <c r="AP208" s="86">
        <v>2011.7</v>
      </c>
      <c r="AQ208" s="86"/>
      <c r="AR208" s="86"/>
      <c r="AS208" s="86"/>
      <c r="AT208" s="86" t="s">
        <v>44</v>
      </c>
      <c r="AU208" s="86">
        <v>2005.6</v>
      </c>
      <c r="AV208" s="86">
        <v>2006.9</v>
      </c>
      <c r="AW208" s="86"/>
      <c r="AX208" s="86"/>
      <c r="AY208" s="86"/>
      <c r="AZ208" s="86"/>
      <c r="BA208" s="86"/>
      <c r="BB208" s="86"/>
      <c r="BC208" s="86" t="s">
        <v>44</v>
      </c>
      <c r="BD208" s="86">
        <f>BE208-9</f>
        <v>2002.7</v>
      </c>
      <c r="BE208" s="86">
        <v>2011.7</v>
      </c>
      <c r="BF208" s="86" t="s">
        <v>288</v>
      </c>
      <c r="BG208" s="86">
        <v>2005.6</v>
      </c>
      <c r="BH208" s="86">
        <f t="shared" si="13"/>
        <v>2011.7</v>
      </c>
      <c r="BI208" s="86">
        <f t="shared" si="11"/>
        <v>6.1000000000001364</v>
      </c>
      <c r="BJ208" s="86" t="s">
        <v>322</v>
      </c>
      <c r="BK208" s="86" t="s">
        <v>149</v>
      </c>
    </row>
    <row r="209" spans="1:63" s="92" customFormat="1" x14ac:dyDescent="0.2">
      <c r="A209" s="86">
        <v>206</v>
      </c>
      <c r="B209" s="93" t="s">
        <v>63</v>
      </c>
      <c r="C209" s="146" t="s">
        <v>54</v>
      </c>
      <c r="D209" s="146" t="s">
        <v>324</v>
      </c>
      <c r="E209" s="99">
        <v>29.86</v>
      </c>
      <c r="F209" s="147">
        <v>1960.9</v>
      </c>
      <c r="G209" s="146">
        <v>2011.7</v>
      </c>
      <c r="H209" s="148" t="s">
        <v>47</v>
      </c>
      <c r="I209" s="91">
        <v>2</v>
      </c>
      <c r="J209" s="91">
        <v>2.25</v>
      </c>
      <c r="K209" s="149">
        <v>1.2318830173760857</v>
      </c>
      <c r="L209" s="149">
        <v>1.3600000000000001E-2</v>
      </c>
      <c r="M209" s="150">
        <v>222.53065784358262</v>
      </c>
      <c r="N209" s="151">
        <v>13.600000000000001</v>
      </c>
      <c r="O209" s="90"/>
      <c r="P209" s="125">
        <f>K209</f>
        <v>1.2318830173760857</v>
      </c>
      <c r="Q209" s="146">
        <v>71.7</v>
      </c>
      <c r="R209" s="90">
        <v>100</v>
      </c>
      <c r="S209" s="94">
        <v>81.75</v>
      </c>
      <c r="T209" s="150">
        <v>69.783491204330176</v>
      </c>
      <c r="U209" s="86">
        <f t="shared" si="10"/>
        <v>11.966508795669824</v>
      </c>
      <c r="V209" s="86" t="s">
        <v>151</v>
      </c>
      <c r="W209" s="146"/>
      <c r="X209" s="86" t="s">
        <v>211</v>
      </c>
      <c r="Y209" s="86" t="s">
        <v>253</v>
      </c>
      <c r="Z209" s="86" t="s">
        <v>253</v>
      </c>
      <c r="AA209" s="86"/>
      <c r="AB209" s="146" t="s">
        <v>324</v>
      </c>
      <c r="AC209" s="86" t="s">
        <v>160</v>
      </c>
      <c r="AD209" s="86"/>
      <c r="AE209" s="86"/>
      <c r="AF209" s="86"/>
      <c r="AG209" s="86"/>
      <c r="AH209" s="86">
        <v>6</v>
      </c>
      <c r="AI209" s="86" t="s">
        <v>160</v>
      </c>
      <c r="AJ209" s="94">
        <f>F209+32</f>
        <v>1992.9</v>
      </c>
      <c r="AK209" s="94">
        <f>G209</f>
        <v>2011.7</v>
      </c>
      <c r="AL209" s="124" t="s">
        <v>255</v>
      </c>
      <c r="AM209" s="86"/>
      <c r="AN209" s="86"/>
      <c r="AO209" s="86"/>
      <c r="AP209" s="86"/>
      <c r="AQ209" s="86"/>
      <c r="AR209" s="86"/>
      <c r="AS209" s="86"/>
      <c r="AT209" s="86" t="s">
        <v>44</v>
      </c>
      <c r="AU209" s="86">
        <v>2005.7</v>
      </c>
      <c r="AV209" s="86">
        <v>2011.7</v>
      </c>
      <c r="AW209" s="86"/>
      <c r="AX209" s="86"/>
      <c r="AY209" s="86"/>
      <c r="AZ209" s="86"/>
      <c r="BA209" s="86"/>
      <c r="BB209" s="86"/>
      <c r="BC209" s="86" t="s">
        <v>44</v>
      </c>
      <c r="BD209" s="86">
        <v>2008.7</v>
      </c>
      <c r="BE209" s="86">
        <v>2011.7</v>
      </c>
      <c r="BF209" s="86" t="s">
        <v>160</v>
      </c>
      <c r="BG209" s="86">
        <f>BH209-BI209</f>
        <v>2002.7</v>
      </c>
      <c r="BH209" s="86">
        <f t="shared" si="13"/>
        <v>2011.7</v>
      </c>
      <c r="BI209" s="86">
        <v>9</v>
      </c>
      <c r="BJ209" s="86"/>
      <c r="BK209" s="86" t="s">
        <v>149</v>
      </c>
    </row>
    <row r="210" spans="1:63" s="92" customFormat="1" x14ac:dyDescent="0.2">
      <c r="A210" s="86">
        <v>207</v>
      </c>
      <c r="B210" s="86" t="s">
        <v>63</v>
      </c>
      <c r="C210" s="91" t="s">
        <v>54</v>
      </c>
      <c r="D210" s="91" t="s">
        <v>325</v>
      </c>
      <c r="E210" s="99">
        <v>26.53</v>
      </c>
      <c r="F210" s="94">
        <v>1980.5</v>
      </c>
      <c r="G210" s="91">
        <v>2011.8</v>
      </c>
      <c r="H210" s="86" t="s">
        <v>47</v>
      </c>
      <c r="I210" s="91">
        <v>1.92</v>
      </c>
      <c r="J210" s="91">
        <v>2.2799999999999998</v>
      </c>
      <c r="K210" s="96">
        <v>1.186517321503054</v>
      </c>
      <c r="L210" s="96">
        <v>2.1400000000000002E-2</v>
      </c>
      <c r="M210" s="88">
        <v>177.50937478594176</v>
      </c>
      <c r="N210" s="97">
        <v>21.400000000000002</v>
      </c>
      <c r="O210" s="90"/>
      <c r="P210" s="125">
        <f>K210</f>
        <v>1.186517321503054</v>
      </c>
      <c r="Q210" s="91">
        <v>60.72</v>
      </c>
      <c r="R210" s="90">
        <v>100</v>
      </c>
      <c r="S210" s="94">
        <v>12.716666666666667</v>
      </c>
      <c r="T210" s="88">
        <v>11.732070365358592</v>
      </c>
      <c r="U210" s="86">
        <f t="shared" si="10"/>
        <v>0.98459630130807518</v>
      </c>
      <c r="V210" s="86" t="s">
        <v>48</v>
      </c>
      <c r="W210" s="86" t="s">
        <v>281</v>
      </c>
      <c r="X210" s="91" t="s">
        <v>148</v>
      </c>
      <c r="Y210" s="86" t="s">
        <v>166</v>
      </c>
      <c r="Z210" s="86" t="s">
        <v>166</v>
      </c>
      <c r="AA210" s="91"/>
      <c r="AB210" s="91" t="s">
        <v>325</v>
      </c>
      <c r="AC210" s="86" t="s">
        <v>153</v>
      </c>
      <c r="AD210" s="86"/>
      <c r="AE210" s="86"/>
      <c r="AF210" s="86"/>
      <c r="AG210" s="86"/>
      <c r="AH210" s="99">
        <f>AK210-AJ210</f>
        <v>0.59999999999990905</v>
      </c>
      <c r="AI210" s="86" t="s">
        <v>182</v>
      </c>
      <c r="AJ210" s="86">
        <v>2011.2</v>
      </c>
      <c r="AK210" s="94">
        <f>G210</f>
        <v>2011.8</v>
      </c>
      <c r="AL210" s="86" t="s">
        <v>255</v>
      </c>
      <c r="AM210" s="86"/>
      <c r="AN210" s="86"/>
      <c r="AO210" s="86"/>
      <c r="AP210" s="86"/>
      <c r="AQ210" s="86"/>
      <c r="AR210" s="86"/>
      <c r="AS210" s="86"/>
      <c r="AT210" s="86"/>
      <c r="AU210" s="86"/>
      <c r="AV210" s="86"/>
      <c r="AW210" s="86" t="s">
        <v>44</v>
      </c>
      <c r="AX210" s="86">
        <v>2011.2</v>
      </c>
      <c r="AY210" s="86">
        <v>2011.8</v>
      </c>
      <c r="AZ210" s="86"/>
      <c r="BA210" s="86"/>
      <c r="BB210" s="86"/>
      <c r="BC210" s="86"/>
      <c r="BD210" s="86"/>
      <c r="BE210" s="86"/>
      <c r="BF210" s="86" t="s">
        <v>182</v>
      </c>
      <c r="BG210" s="86">
        <v>2011.2</v>
      </c>
      <c r="BH210" s="86">
        <f t="shared" si="13"/>
        <v>2011.8</v>
      </c>
      <c r="BI210" s="86">
        <f>BH210-BG210</f>
        <v>0.59999999999990905</v>
      </c>
      <c r="BJ210" s="86"/>
      <c r="BK210" s="86" t="s">
        <v>149</v>
      </c>
    </row>
    <row r="211" spans="1:63" s="92" customFormat="1" x14ac:dyDescent="0.2">
      <c r="A211" s="86">
        <v>208</v>
      </c>
      <c r="B211" s="86" t="s">
        <v>63</v>
      </c>
      <c r="C211" s="130" t="s">
        <v>54</v>
      </c>
      <c r="D211" s="130" t="s">
        <v>326</v>
      </c>
      <c r="E211" s="86">
        <v>22.2</v>
      </c>
      <c r="F211" s="152">
        <v>1990</v>
      </c>
      <c r="G211" s="152">
        <v>2013</v>
      </c>
      <c r="H211" s="152" t="s">
        <v>47</v>
      </c>
      <c r="I211" s="91">
        <v>1.97</v>
      </c>
      <c r="J211" s="91">
        <v>2.3199999999999998</v>
      </c>
      <c r="K211" s="142">
        <v>1.135574409931023</v>
      </c>
      <c r="L211" s="142">
        <v>1.8000000000000002E-2</v>
      </c>
      <c r="M211" s="143">
        <v>126.95321781474011</v>
      </c>
      <c r="N211" s="144">
        <v>18</v>
      </c>
      <c r="O211" s="90"/>
      <c r="P211" s="125">
        <f>K211</f>
        <v>1.135574409931023</v>
      </c>
      <c r="Q211" s="130" t="s">
        <v>327</v>
      </c>
      <c r="R211" s="90">
        <v>100</v>
      </c>
      <c r="S211" s="86">
        <v>66.75</v>
      </c>
      <c r="T211" s="143">
        <v>56.944967074317965</v>
      </c>
      <c r="U211" s="86">
        <f t="shared" si="10"/>
        <v>9.8050329256820348</v>
      </c>
      <c r="V211" s="86" t="s">
        <v>48</v>
      </c>
      <c r="W211" s="130"/>
      <c r="X211" s="86" t="s">
        <v>174</v>
      </c>
      <c r="Y211" s="86" t="s">
        <v>248</v>
      </c>
      <c r="Z211" s="86"/>
      <c r="AA211" s="86" t="s">
        <v>249</v>
      </c>
      <c r="AB211" s="130" t="s">
        <v>326</v>
      </c>
      <c r="AC211" s="86" t="s">
        <v>160</v>
      </c>
      <c r="AD211" s="86">
        <v>3</v>
      </c>
      <c r="AE211" s="86" t="s">
        <v>160</v>
      </c>
      <c r="AF211" s="86">
        <f>AG211-AD211</f>
        <v>2010</v>
      </c>
      <c r="AG211" s="86">
        <f>G211</f>
        <v>2013</v>
      </c>
      <c r="AH211" s="86"/>
      <c r="AI211" s="86"/>
      <c r="AJ211" s="86"/>
      <c r="AK211" s="86"/>
      <c r="AL211" s="86" t="s">
        <v>255</v>
      </c>
      <c r="AM211" s="86"/>
      <c r="AN211" s="86" t="s">
        <v>44</v>
      </c>
      <c r="AO211" s="86">
        <v>2011.7</v>
      </c>
      <c r="AP211" s="86">
        <v>2012.8</v>
      </c>
      <c r="AQ211" s="86" t="s">
        <v>44</v>
      </c>
      <c r="AR211" s="86">
        <v>2012.8</v>
      </c>
      <c r="AS211" s="86">
        <v>2013</v>
      </c>
      <c r="AT211" s="86"/>
      <c r="AU211" s="86"/>
      <c r="AV211" s="86"/>
      <c r="AW211" s="86" t="s">
        <v>44</v>
      </c>
      <c r="AX211" s="86">
        <v>2009.3</v>
      </c>
      <c r="AY211" s="86">
        <v>2013</v>
      </c>
      <c r="AZ211" s="86"/>
      <c r="BA211" s="86"/>
      <c r="BB211" s="86"/>
      <c r="BC211" s="86" t="s">
        <v>44</v>
      </c>
      <c r="BD211" s="86">
        <v>2011</v>
      </c>
      <c r="BE211" s="86">
        <v>2011.5</v>
      </c>
      <c r="BF211" s="86" t="s">
        <v>182</v>
      </c>
      <c r="BG211" s="86">
        <v>2009.3</v>
      </c>
      <c r="BH211" s="86">
        <f t="shared" si="13"/>
        <v>2013</v>
      </c>
      <c r="BI211" s="86">
        <f>BH211-BG211</f>
        <v>3.7000000000000455</v>
      </c>
      <c r="BJ211" s="86" t="s">
        <v>328</v>
      </c>
      <c r="BK211" s="86" t="s">
        <v>149</v>
      </c>
    </row>
    <row r="212" spans="1:63" s="92" customFormat="1" x14ac:dyDescent="0.2">
      <c r="A212" s="86">
        <v>209</v>
      </c>
      <c r="B212" s="86" t="s">
        <v>63</v>
      </c>
      <c r="C212" s="130" t="s">
        <v>45</v>
      </c>
      <c r="D212" s="130" t="s">
        <v>326</v>
      </c>
      <c r="E212" s="86">
        <v>22.2</v>
      </c>
      <c r="F212" s="152">
        <v>1990</v>
      </c>
      <c r="G212" s="152">
        <v>2013</v>
      </c>
      <c r="H212" s="152" t="s">
        <v>47</v>
      </c>
      <c r="I212" s="91">
        <v>1.97</v>
      </c>
      <c r="J212" s="91">
        <v>2.27</v>
      </c>
      <c r="K212" s="142">
        <v>1.1750830236382921</v>
      </c>
      <c r="L212" s="142">
        <v>0.02</v>
      </c>
      <c r="M212" s="143">
        <v>166.16188521638685</v>
      </c>
      <c r="N212" s="144">
        <v>20</v>
      </c>
      <c r="O212" s="90"/>
      <c r="P212" s="89">
        <f>(K212-K211*(1-R212/100))*100/R212</f>
        <v>1.1771624243597272</v>
      </c>
      <c r="Q212" s="130" t="s">
        <v>329</v>
      </c>
      <c r="R212" s="94">
        <v>95</v>
      </c>
      <c r="S212" s="86">
        <v>45.583333333333336</v>
      </c>
      <c r="T212" s="143">
        <v>39.541392285983065</v>
      </c>
      <c r="U212" s="86">
        <f t="shared" si="10"/>
        <v>6.0419410473502708</v>
      </c>
      <c r="V212" s="86" t="s">
        <v>48</v>
      </c>
      <c r="W212" s="130"/>
      <c r="X212" s="86" t="s">
        <v>174</v>
      </c>
      <c r="Y212" s="86" t="s">
        <v>248</v>
      </c>
      <c r="Z212" s="86"/>
      <c r="AA212" s="86" t="s">
        <v>249</v>
      </c>
      <c r="AB212" s="130" t="s">
        <v>326</v>
      </c>
      <c r="AC212" s="86" t="s">
        <v>160</v>
      </c>
      <c r="AD212" s="86">
        <v>3</v>
      </c>
      <c r="AE212" s="86" t="s">
        <v>160</v>
      </c>
      <c r="AF212" s="86">
        <f>AG212-AD212</f>
        <v>2010</v>
      </c>
      <c r="AG212" s="86">
        <f>G212</f>
        <v>2013</v>
      </c>
      <c r="AH212" s="86"/>
      <c r="AI212" s="86"/>
      <c r="AJ212" s="86"/>
      <c r="AK212" s="86"/>
      <c r="AL212" s="86" t="s">
        <v>255</v>
      </c>
      <c r="AM212" s="86"/>
      <c r="AN212" s="86" t="s">
        <v>44</v>
      </c>
      <c r="AO212" s="86">
        <v>2011.7</v>
      </c>
      <c r="AP212" s="86">
        <v>2012.8</v>
      </c>
      <c r="AQ212" s="86" t="s">
        <v>44</v>
      </c>
      <c r="AR212" s="86">
        <v>2012.8</v>
      </c>
      <c r="AS212" s="86">
        <v>2013</v>
      </c>
      <c r="AT212" s="86"/>
      <c r="AU212" s="86"/>
      <c r="AV212" s="86"/>
      <c r="AW212" s="86" t="s">
        <v>44</v>
      </c>
      <c r="AX212" s="86">
        <v>2009.3</v>
      </c>
      <c r="AY212" s="86">
        <v>2013</v>
      </c>
      <c r="AZ212" s="86"/>
      <c r="BA212" s="86"/>
      <c r="BB212" s="86"/>
      <c r="BC212" s="86" t="s">
        <v>44</v>
      </c>
      <c r="BD212" s="86">
        <v>2011</v>
      </c>
      <c r="BE212" s="86">
        <v>2011.5</v>
      </c>
      <c r="BF212" s="86" t="s">
        <v>182</v>
      </c>
      <c r="BG212" s="86">
        <v>2009.3</v>
      </c>
      <c r="BH212" s="86">
        <f t="shared" si="13"/>
        <v>2013</v>
      </c>
      <c r="BI212" s="86">
        <f>BH212-BG212</f>
        <v>3.7000000000000455</v>
      </c>
      <c r="BJ212" s="86" t="s">
        <v>328</v>
      </c>
      <c r="BK212" s="86" t="s">
        <v>149</v>
      </c>
    </row>
    <row r="213" spans="1:63" s="92" customFormat="1" x14ac:dyDescent="0.2">
      <c r="A213" s="86">
        <v>210</v>
      </c>
      <c r="B213" s="86" t="s">
        <v>63</v>
      </c>
      <c r="C213" s="134" t="s">
        <v>54</v>
      </c>
      <c r="D213" s="134" t="s">
        <v>330</v>
      </c>
      <c r="E213" s="143">
        <v>28.731921487603305</v>
      </c>
      <c r="F213" s="135">
        <v>1989</v>
      </c>
      <c r="G213" s="134">
        <v>2013.2</v>
      </c>
      <c r="H213" s="130" t="s">
        <v>69</v>
      </c>
      <c r="I213" s="91">
        <v>1.99</v>
      </c>
      <c r="J213" s="91">
        <v>2.2999999999999998</v>
      </c>
      <c r="K213" s="142">
        <v>1.1082000000000001</v>
      </c>
      <c r="L213" s="142">
        <v>1.2800000000000001E-2</v>
      </c>
      <c r="M213" s="143">
        <v>99.8</v>
      </c>
      <c r="N213" s="144">
        <v>13</v>
      </c>
      <c r="O213" s="90"/>
      <c r="P213" s="125">
        <f>K213</f>
        <v>1.1082000000000001</v>
      </c>
      <c r="Q213" s="134">
        <v>90.8</v>
      </c>
      <c r="R213" s="90">
        <v>100</v>
      </c>
      <c r="S213" s="94">
        <v>31.266666666666666</v>
      </c>
      <c r="T213" s="143">
        <v>25.9</v>
      </c>
      <c r="U213" s="86">
        <f t="shared" si="10"/>
        <v>5.3666666666666671</v>
      </c>
      <c r="V213" s="86" t="s">
        <v>151</v>
      </c>
      <c r="W213" s="91"/>
      <c r="X213" s="86" t="s">
        <v>152</v>
      </c>
      <c r="Y213" s="86" t="s">
        <v>253</v>
      </c>
      <c r="Z213" s="86" t="s">
        <v>253</v>
      </c>
      <c r="AA213" s="86" t="s">
        <v>287</v>
      </c>
      <c r="AB213" s="134" t="s">
        <v>330</v>
      </c>
      <c r="AC213" s="86" t="s">
        <v>372</v>
      </c>
      <c r="AD213" s="86">
        <f>AG213-AF213</f>
        <v>4.1000000000001364</v>
      </c>
      <c r="AE213" s="86" t="s">
        <v>182</v>
      </c>
      <c r="AF213" s="86">
        <v>2009.1</v>
      </c>
      <c r="AG213" s="86">
        <f>G213</f>
        <v>2013.2</v>
      </c>
      <c r="AH213" s="99" t="s">
        <v>261</v>
      </c>
      <c r="AI213" s="86" t="s">
        <v>160</v>
      </c>
      <c r="AJ213" s="94">
        <f>F213+14</f>
        <v>2003</v>
      </c>
      <c r="AK213" s="94">
        <f t="shared" ref="AK213:AK215" si="14">G213</f>
        <v>2013.2</v>
      </c>
      <c r="AL213" s="124" t="s">
        <v>255</v>
      </c>
      <c r="AM213" s="86"/>
      <c r="AN213" s="86" t="s">
        <v>44</v>
      </c>
      <c r="AO213" s="86">
        <v>2009</v>
      </c>
      <c r="AP213" s="86">
        <v>2013.2</v>
      </c>
      <c r="AQ213" s="86"/>
      <c r="AR213" s="86"/>
      <c r="AS213" s="86"/>
      <c r="AT213" s="86"/>
      <c r="AU213" s="86"/>
      <c r="AV213" s="86"/>
      <c r="AW213" s="86"/>
      <c r="AX213" s="86"/>
      <c r="AY213" s="86"/>
      <c r="AZ213" s="86"/>
      <c r="BA213" s="86"/>
      <c r="BB213" s="86"/>
      <c r="BC213" s="86"/>
      <c r="BD213" s="86"/>
      <c r="BE213" s="86"/>
      <c r="BF213" s="86" t="s">
        <v>182</v>
      </c>
      <c r="BG213" s="86">
        <v>2009</v>
      </c>
      <c r="BH213" s="86">
        <f t="shared" si="13"/>
        <v>2013.2</v>
      </c>
      <c r="BI213" s="86">
        <f>BH213-BG213</f>
        <v>4.2000000000000455</v>
      </c>
      <c r="BJ213" s="86"/>
      <c r="BK213" s="86" t="s">
        <v>149</v>
      </c>
    </row>
    <row r="214" spans="1:63" s="92" customFormat="1" x14ac:dyDescent="0.2">
      <c r="A214" s="86">
        <v>211</v>
      </c>
      <c r="B214" s="86" t="s">
        <v>63</v>
      </c>
      <c r="C214" s="134" t="s">
        <v>45</v>
      </c>
      <c r="D214" s="134" t="s">
        <v>330</v>
      </c>
      <c r="E214" s="88">
        <v>28.731921487603305</v>
      </c>
      <c r="F214" s="135">
        <v>1989</v>
      </c>
      <c r="G214" s="134">
        <v>2013.2</v>
      </c>
      <c r="H214" s="130" t="s">
        <v>69</v>
      </c>
      <c r="I214" s="91">
        <v>1.98</v>
      </c>
      <c r="J214" s="91">
        <v>1.97</v>
      </c>
      <c r="K214" s="142">
        <v>1.1244000000000001</v>
      </c>
      <c r="L214" s="142">
        <v>1.34E-2</v>
      </c>
      <c r="M214" s="143">
        <v>115.8</v>
      </c>
      <c r="N214" s="144">
        <v>13</v>
      </c>
      <c r="O214" s="90"/>
      <c r="P214" s="89">
        <f>(K214-K213*(1-R214/100))*100/R214</f>
        <v>1.1247137614678899</v>
      </c>
      <c r="Q214" s="134">
        <v>14.23</v>
      </c>
      <c r="R214" s="134">
        <v>98.1</v>
      </c>
      <c r="S214" s="94">
        <v>40.216666666666669</v>
      </c>
      <c r="T214" s="143">
        <v>37.5</v>
      </c>
      <c r="U214" s="86">
        <f t="shared" si="10"/>
        <v>2.7166666666666686</v>
      </c>
      <c r="V214" s="86" t="s">
        <v>151</v>
      </c>
      <c r="W214" s="134"/>
      <c r="X214" s="86" t="s">
        <v>152</v>
      </c>
      <c r="Y214" s="86" t="s">
        <v>253</v>
      </c>
      <c r="Z214" s="86" t="s">
        <v>253</v>
      </c>
      <c r="AA214" s="86" t="s">
        <v>287</v>
      </c>
      <c r="AB214" s="134" t="s">
        <v>330</v>
      </c>
      <c r="AC214" s="86" t="s">
        <v>372</v>
      </c>
      <c r="AD214" s="86">
        <f>AG214-AF214</f>
        <v>4.1000000000001364</v>
      </c>
      <c r="AE214" s="86" t="s">
        <v>182</v>
      </c>
      <c r="AF214" s="86">
        <v>2009.1</v>
      </c>
      <c r="AG214" s="86">
        <f>G214</f>
        <v>2013.2</v>
      </c>
      <c r="AH214" s="99" t="s">
        <v>261</v>
      </c>
      <c r="AI214" s="86" t="s">
        <v>160</v>
      </c>
      <c r="AJ214" s="94">
        <f>F214+14</f>
        <v>2003</v>
      </c>
      <c r="AK214" s="94">
        <f t="shared" si="14"/>
        <v>2013.2</v>
      </c>
      <c r="AL214" s="124" t="s">
        <v>255</v>
      </c>
      <c r="AM214" s="86"/>
      <c r="AN214" s="86" t="s">
        <v>44</v>
      </c>
      <c r="AO214" s="86">
        <v>2009</v>
      </c>
      <c r="AP214" s="86">
        <v>2013.2</v>
      </c>
      <c r="AQ214" s="86"/>
      <c r="AR214" s="86"/>
      <c r="AS214" s="86"/>
      <c r="AT214" s="86"/>
      <c r="AU214" s="86"/>
      <c r="AV214" s="86"/>
      <c r="AW214" s="86"/>
      <c r="AX214" s="86"/>
      <c r="AY214" s="86"/>
      <c r="AZ214" s="86"/>
      <c r="BA214" s="86"/>
      <c r="BB214" s="86"/>
      <c r="BC214" s="86"/>
      <c r="BD214" s="86"/>
      <c r="BE214" s="86"/>
      <c r="BF214" s="86" t="s">
        <v>182</v>
      </c>
      <c r="BG214" s="86">
        <v>2009</v>
      </c>
      <c r="BH214" s="86">
        <f t="shared" si="13"/>
        <v>2013.2</v>
      </c>
      <c r="BI214" s="86">
        <f>BH214-BG214</f>
        <v>4.2000000000000455</v>
      </c>
      <c r="BJ214" s="86"/>
      <c r="BK214" s="86" t="s">
        <v>149</v>
      </c>
    </row>
    <row r="215" spans="1:63" s="92" customFormat="1" x14ac:dyDescent="0.2">
      <c r="A215" s="86">
        <v>212</v>
      </c>
      <c r="B215" s="93" t="s">
        <v>63</v>
      </c>
      <c r="C215" s="134" t="s">
        <v>45</v>
      </c>
      <c r="D215" s="134" t="s">
        <v>331</v>
      </c>
      <c r="E215" s="86">
        <v>24.5</v>
      </c>
      <c r="F215" s="135">
        <v>1981.6</v>
      </c>
      <c r="G215" s="134">
        <v>2013.7</v>
      </c>
      <c r="H215" s="145" t="s">
        <v>47</v>
      </c>
      <c r="I215" s="91">
        <v>1.95</v>
      </c>
      <c r="J215" s="91">
        <v>2.19</v>
      </c>
      <c r="K215" s="142">
        <v>1.2741377546505648</v>
      </c>
      <c r="L215" s="142">
        <v>2.18E-2</v>
      </c>
      <c r="M215" s="143">
        <v>264.46460045706834</v>
      </c>
      <c r="N215" s="144">
        <v>21.8</v>
      </c>
      <c r="O215" s="90"/>
      <c r="P215" s="66">
        <f>(K215-1.196652003*(1-R96/100))*100/96</f>
        <v>1.3272268277610049</v>
      </c>
      <c r="Q215" s="134">
        <v>9.68</v>
      </c>
      <c r="R215" s="113" t="s">
        <v>59</v>
      </c>
      <c r="S215" s="94">
        <v>16.05</v>
      </c>
      <c r="T215" s="143">
        <v>12.498872350022552</v>
      </c>
      <c r="U215" s="86">
        <f t="shared" si="10"/>
        <v>3.5511276499774489</v>
      </c>
      <c r="V215" s="86" t="s">
        <v>151</v>
      </c>
      <c r="W215" s="130" t="s">
        <v>332</v>
      </c>
      <c r="X215" s="91" t="s">
        <v>152</v>
      </c>
      <c r="Y215" s="91" t="s">
        <v>166</v>
      </c>
      <c r="Z215" s="91" t="s">
        <v>166</v>
      </c>
      <c r="AA215" s="91"/>
      <c r="AB215" s="134" t="s">
        <v>331</v>
      </c>
      <c r="AC215" s="86" t="s">
        <v>160</v>
      </c>
      <c r="AD215" s="86"/>
      <c r="AE215" s="86"/>
      <c r="AF215" s="86"/>
      <c r="AG215" s="86"/>
      <c r="AH215" s="86">
        <v>0.5</v>
      </c>
      <c r="AI215" s="86" t="s">
        <v>160</v>
      </c>
      <c r="AJ215" s="99">
        <f>AK215-AH215</f>
        <v>2013.2</v>
      </c>
      <c r="AK215" s="94">
        <f t="shared" si="14"/>
        <v>2013.7</v>
      </c>
      <c r="AL215" s="124"/>
      <c r="AM215" s="86"/>
      <c r="AN215" s="86"/>
      <c r="AO215" s="86"/>
      <c r="AP215" s="86"/>
      <c r="AQ215" s="86"/>
      <c r="AR215" s="86"/>
      <c r="AS215" s="86"/>
      <c r="AT215" s="86"/>
      <c r="AU215" s="86"/>
      <c r="AV215" s="86"/>
      <c r="AW215" s="86"/>
      <c r="AX215" s="86"/>
      <c r="AY215" s="86"/>
      <c r="AZ215" s="86"/>
      <c r="BA215" s="86"/>
      <c r="BB215" s="86"/>
      <c r="BC215" s="86"/>
      <c r="BD215" s="86"/>
      <c r="BE215" s="86"/>
      <c r="BF215" s="86"/>
      <c r="BG215" s="86"/>
      <c r="BH215" s="86"/>
      <c r="BI215" s="86"/>
      <c r="BJ215" s="86"/>
      <c r="BK215" s="86" t="s">
        <v>149</v>
      </c>
    </row>
    <row r="216" spans="1:63" s="92" customFormat="1" x14ac:dyDescent="0.2">
      <c r="A216" s="86">
        <v>213</v>
      </c>
      <c r="B216" s="86" t="s">
        <v>63</v>
      </c>
      <c r="C216" s="134" t="s">
        <v>54</v>
      </c>
      <c r="D216" s="134" t="s">
        <v>333</v>
      </c>
      <c r="E216" s="88">
        <v>37.691745799853905</v>
      </c>
      <c r="F216" s="135">
        <v>1971.4</v>
      </c>
      <c r="G216" s="134">
        <v>2008.2</v>
      </c>
      <c r="H216" s="130" t="s">
        <v>47</v>
      </c>
      <c r="I216" s="91">
        <v>1.88</v>
      </c>
      <c r="J216" s="91">
        <v>2.2799999999999998</v>
      </c>
      <c r="K216" s="142">
        <v>1.3038018760304526</v>
      </c>
      <c r="L216" s="142">
        <v>1.78E-2</v>
      </c>
      <c r="M216" s="143">
        <v>293.90351414722659</v>
      </c>
      <c r="N216" s="144">
        <v>17.8</v>
      </c>
      <c r="O216" s="90"/>
      <c r="P216" s="125">
        <f>K216</f>
        <v>1.3038018760304526</v>
      </c>
      <c r="Q216" s="134">
        <v>31.78</v>
      </c>
      <c r="R216" s="90">
        <v>100</v>
      </c>
      <c r="S216" s="94">
        <v>36.65</v>
      </c>
      <c r="T216" s="143">
        <v>31.804239963915201</v>
      </c>
      <c r="U216" s="86">
        <f t="shared" si="10"/>
        <v>4.8457600360847977</v>
      </c>
      <c r="V216" s="86" t="s">
        <v>48</v>
      </c>
      <c r="W216" s="130" t="s">
        <v>281</v>
      </c>
      <c r="X216" s="91" t="s">
        <v>334</v>
      </c>
      <c r="Y216" s="86" t="s">
        <v>287</v>
      </c>
      <c r="Z216" s="86" t="s">
        <v>166</v>
      </c>
      <c r="AA216" s="86" t="s">
        <v>287</v>
      </c>
      <c r="AB216" s="134" t="s">
        <v>333</v>
      </c>
      <c r="AC216" s="86" t="s">
        <v>373</v>
      </c>
      <c r="AD216" s="86">
        <f>AG216-AF216</f>
        <v>17.700000000000045</v>
      </c>
      <c r="AE216" s="86" t="s">
        <v>371</v>
      </c>
      <c r="AF216" s="86">
        <v>1990.5</v>
      </c>
      <c r="AG216" s="86">
        <f>G216</f>
        <v>2008.2</v>
      </c>
      <c r="AH216" s="86" t="s">
        <v>261</v>
      </c>
      <c r="AI216" s="86" t="s">
        <v>160</v>
      </c>
      <c r="AJ216" s="86" t="s">
        <v>261</v>
      </c>
      <c r="AK216" s="86" t="s">
        <v>261</v>
      </c>
      <c r="AL216" s="124" t="s">
        <v>255</v>
      </c>
      <c r="AM216" s="86"/>
      <c r="AN216" s="86"/>
      <c r="AO216" s="86"/>
      <c r="AP216" s="86"/>
      <c r="AQ216" s="86"/>
      <c r="AR216" s="86"/>
      <c r="AS216" s="86"/>
      <c r="AT216" s="86"/>
      <c r="AU216" s="86"/>
      <c r="AV216" s="86"/>
      <c r="AW216" s="86" t="s">
        <v>44</v>
      </c>
      <c r="AX216" s="86">
        <v>2006.5</v>
      </c>
      <c r="AY216" s="86">
        <v>2008.2</v>
      </c>
      <c r="AZ216" s="86"/>
      <c r="BA216" s="86"/>
      <c r="BB216" s="86"/>
      <c r="BC216" s="86"/>
      <c r="BD216" s="86"/>
      <c r="BE216" s="86"/>
      <c r="BF216" s="86" t="s">
        <v>182</v>
      </c>
      <c r="BG216" s="86">
        <v>2006.5</v>
      </c>
      <c r="BH216" s="86">
        <v>2008.3</v>
      </c>
      <c r="BI216" s="86">
        <f>BH216-BG216</f>
        <v>1.7999999999999545</v>
      </c>
      <c r="BJ216" s="86"/>
      <c r="BK216" s="86" t="s">
        <v>149</v>
      </c>
    </row>
    <row r="217" spans="1:63" x14ac:dyDescent="0.2">
      <c r="A217" s="1">
        <v>214</v>
      </c>
      <c r="B217" s="44" t="s">
        <v>44</v>
      </c>
      <c r="C217" s="45" t="s">
        <v>54</v>
      </c>
      <c r="D217" s="53" t="s">
        <v>335</v>
      </c>
      <c r="E217" s="54" t="s">
        <v>59</v>
      </c>
      <c r="F217" s="45">
        <v>1924.2</v>
      </c>
      <c r="G217" s="45">
        <v>2011.2</v>
      </c>
      <c r="H217" s="45" t="s">
        <v>47</v>
      </c>
      <c r="K217" s="45">
        <v>1.0171148383003812</v>
      </c>
      <c r="L217" s="45">
        <v>0.02</v>
      </c>
      <c r="M217" s="45">
        <v>29.6</v>
      </c>
      <c r="N217" s="45">
        <v>20</v>
      </c>
      <c r="O217" s="1"/>
      <c r="P217" s="47">
        <f>K217</f>
        <v>1.0171148383003812</v>
      </c>
      <c r="Q217" s="45">
        <v>6.5</v>
      </c>
      <c r="R217" s="31">
        <v>100</v>
      </c>
      <c r="S217" s="2">
        <v>7.9</v>
      </c>
      <c r="T217" s="45">
        <v>7.415333960489181</v>
      </c>
      <c r="U217" s="2">
        <f t="shared" si="10"/>
        <v>0.48466603951081932</v>
      </c>
      <c r="V217" s="1" t="s">
        <v>180</v>
      </c>
      <c r="W217" s="55"/>
      <c r="X217" s="56"/>
      <c r="Y217" s="1" t="s">
        <v>376</v>
      </c>
      <c r="Z217" s="56"/>
      <c r="AA217" s="56"/>
      <c r="AB217" s="53" t="s">
        <v>335</v>
      </c>
      <c r="AL217" s="48"/>
      <c r="BK217" s="1" t="s">
        <v>149</v>
      </c>
    </row>
    <row r="218" spans="1:63" x14ac:dyDescent="0.2">
      <c r="A218" s="1">
        <v>215</v>
      </c>
      <c r="B218" s="44" t="s">
        <v>44</v>
      </c>
      <c r="C218" s="45" t="s">
        <v>45</v>
      </c>
      <c r="D218" s="53" t="s">
        <v>335</v>
      </c>
      <c r="E218" s="54" t="s">
        <v>59</v>
      </c>
      <c r="F218" s="45">
        <v>1924.2</v>
      </c>
      <c r="G218" s="45">
        <v>2011.2</v>
      </c>
      <c r="H218" s="57" t="s">
        <v>47</v>
      </c>
      <c r="I218" s="52"/>
      <c r="J218" s="52"/>
      <c r="K218" s="45">
        <v>1.044230716623366</v>
      </c>
      <c r="L218" s="45">
        <v>0.02</v>
      </c>
      <c r="M218" s="45">
        <v>36.560171355336948</v>
      </c>
      <c r="N218" s="45">
        <v>20</v>
      </c>
      <c r="P218" s="19">
        <f>(K218-K217*(1-R218/100))*100/R218</f>
        <v>1.0450118324598305</v>
      </c>
      <c r="Q218" s="45">
        <v>5.6</v>
      </c>
      <c r="R218" s="31">
        <v>97.2</v>
      </c>
      <c r="S218" s="2">
        <v>7.9</v>
      </c>
      <c r="T218" s="45">
        <v>7.5564440263405448</v>
      </c>
      <c r="U218" s="2">
        <f t="shared" si="10"/>
        <v>0.34355597365945556</v>
      </c>
      <c r="V218" s="1" t="s">
        <v>180</v>
      </c>
      <c r="W218" s="55"/>
      <c r="X218" s="56"/>
      <c r="Y218" s="1" t="s">
        <v>376</v>
      </c>
      <c r="Z218" s="56"/>
      <c r="AA218" s="56"/>
      <c r="AB218" s="53" t="s">
        <v>335</v>
      </c>
      <c r="BK218" s="1" t="s">
        <v>149</v>
      </c>
    </row>
    <row r="219" spans="1:63" x14ac:dyDescent="0.2">
      <c r="A219" s="1">
        <v>216</v>
      </c>
      <c r="B219" s="44" t="s">
        <v>44</v>
      </c>
      <c r="C219" s="45" t="s">
        <v>45</v>
      </c>
      <c r="D219" s="53" t="s">
        <v>336</v>
      </c>
      <c r="E219" s="54" t="s">
        <v>59</v>
      </c>
      <c r="F219" s="45">
        <v>1936.8</v>
      </c>
      <c r="G219" s="45">
        <v>2011.3</v>
      </c>
      <c r="H219" s="57" t="s">
        <v>47</v>
      </c>
      <c r="I219" s="52"/>
      <c r="J219" s="52"/>
      <c r="K219" s="45">
        <v>1.0645781307976832</v>
      </c>
      <c r="L219" s="45">
        <v>0.03</v>
      </c>
      <c r="M219" s="45">
        <v>56.758120704470059</v>
      </c>
      <c r="N219" s="45">
        <v>30</v>
      </c>
      <c r="P219" s="66">
        <f>(K219-1.093263049*(1-R219/100))*100/R219</f>
        <v>1.0641413046321657</v>
      </c>
      <c r="Q219" s="45">
        <v>6.8</v>
      </c>
      <c r="R219" s="31">
        <v>98.5</v>
      </c>
      <c r="S219" s="2">
        <v>6.3</v>
      </c>
      <c r="T219" s="45">
        <v>5.6749764816556896</v>
      </c>
      <c r="U219" s="2">
        <f t="shared" si="10"/>
        <v>0.62502351834431025</v>
      </c>
      <c r="V219" s="1" t="s">
        <v>180</v>
      </c>
      <c r="W219" s="55"/>
      <c r="X219" s="56"/>
      <c r="Y219" s="1" t="s">
        <v>376</v>
      </c>
      <c r="Z219" s="56"/>
      <c r="AA219" s="56"/>
      <c r="AB219" s="53" t="s">
        <v>336</v>
      </c>
      <c r="BK219" s="1" t="s">
        <v>149</v>
      </c>
    </row>
    <row r="220" spans="1:63" x14ac:dyDescent="0.2">
      <c r="A220" s="1">
        <v>217</v>
      </c>
      <c r="B220" s="44" t="s">
        <v>44</v>
      </c>
      <c r="C220" s="2" t="s">
        <v>54</v>
      </c>
      <c r="D220" s="54" t="s">
        <v>337</v>
      </c>
      <c r="E220" s="54" t="s">
        <v>59</v>
      </c>
      <c r="F220" s="2">
        <v>1925.3</v>
      </c>
      <c r="G220" s="2">
        <v>2011.2</v>
      </c>
      <c r="H220" s="2" t="s">
        <v>69</v>
      </c>
      <c r="K220" s="50">
        <v>1.0381650509449489</v>
      </c>
      <c r="L220" s="2">
        <v>0.02</v>
      </c>
      <c r="M220" s="50">
        <v>30.539061886985188</v>
      </c>
      <c r="N220" s="2">
        <v>20</v>
      </c>
      <c r="P220" s="47">
        <f>K220</f>
        <v>1.0381650509449489</v>
      </c>
      <c r="Q220" s="2">
        <v>6.9</v>
      </c>
      <c r="R220" s="31">
        <v>100</v>
      </c>
      <c r="S220" s="2">
        <v>8.3000000000000007</v>
      </c>
      <c r="T220" s="51">
        <v>7.4921064501578707</v>
      </c>
      <c r="U220" s="2">
        <f t="shared" si="10"/>
        <v>0.80789354984213002</v>
      </c>
      <c r="V220" s="1" t="s">
        <v>180</v>
      </c>
      <c r="W220" s="55"/>
      <c r="X220" s="56"/>
      <c r="Y220" s="1" t="s">
        <v>376</v>
      </c>
      <c r="Z220" s="56"/>
      <c r="AA220" s="56"/>
      <c r="AB220" s="54" t="s">
        <v>337</v>
      </c>
      <c r="BK220" s="1" t="s">
        <v>149</v>
      </c>
    </row>
    <row r="221" spans="1:63" x14ac:dyDescent="0.2">
      <c r="A221" s="1">
        <v>218</v>
      </c>
      <c r="B221" s="44" t="s">
        <v>44</v>
      </c>
      <c r="C221" s="2" t="s">
        <v>45</v>
      </c>
      <c r="D221" s="54" t="s">
        <v>337</v>
      </c>
      <c r="E221" s="54" t="s">
        <v>59</v>
      </c>
      <c r="F221" s="2">
        <v>1925.3</v>
      </c>
      <c r="G221" s="2">
        <v>2011.2</v>
      </c>
      <c r="H221" s="2" t="s">
        <v>69</v>
      </c>
      <c r="K221" s="50">
        <v>1.0296473410071119</v>
      </c>
      <c r="L221" s="2">
        <v>1.4E-2</v>
      </c>
      <c r="M221" s="50">
        <v>22.083919999118287</v>
      </c>
      <c r="N221" s="2">
        <v>14</v>
      </c>
      <c r="P221" s="19">
        <f>(K221-K220*(1-R221/100))*100/R221</f>
        <v>1.0294823700704974</v>
      </c>
      <c r="Q221" s="2">
        <v>6.7</v>
      </c>
      <c r="R221" s="31">
        <v>98.1</v>
      </c>
      <c r="S221" s="2">
        <v>13.7</v>
      </c>
      <c r="T221" s="51">
        <v>11.732070365358588</v>
      </c>
      <c r="U221" s="2">
        <f t="shared" si="10"/>
        <v>1.9679296346414112</v>
      </c>
      <c r="V221" s="1" t="s">
        <v>180</v>
      </c>
      <c r="W221" s="55"/>
      <c r="X221" s="32"/>
      <c r="Y221" s="1" t="s">
        <v>376</v>
      </c>
      <c r="Z221" s="32"/>
      <c r="AA221" s="32"/>
      <c r="AB221" s="54" t="s">
        <v>337</v>
      </c>
      <c r="BK221" s="1" t="s">
        <v>149</v>
      </c>
    </row>
    <row r="222" spans="1:63" x14ac:dyDescent="0.2">
      <c r="A222" s="1">
        <v>219</v>
      </c>
      <c r="B222" s="44" t="s">
        <v>44</v>
      </c>
      <c r="C222" s="2" t="s">
        <v>54</v>
      </c>
      <c r="D222" s="54" t="s">
        <v>338</v>
      </c>
      <c r="E222" s="54" t="s">
        <v>59</v>
      </c>
      <c r="F222" s="2">
        <v>1926.5</v>
      </c>
      <c r="G222" s="2">
        <v>2011.2</v>
      </c>
      <c r="H222" s="2" t="s">
        <v>69</v>
      </c>
      <c r="K222" s="50">
        <v>1.0970765498692836</v>
      </c>
      <c r="L222" s="2">
        <v>1.6E-2</v>
      </c>
      <c r="M222" s="50">
        <v>89.017818015965304</v>
      </c>
      <c r="N222" s="2">
        <v>16</v>
      </c>
      <c r="P222" s="47">
        <f>K222</f>
        <v>1.0970765498692836</v>
      </c>
      <c r="Q222" s="2">
        <v>6.6</v>
      </c>
      <c r="R222" s="31">
        <v>100</v>
      </c>
      <c r="S222" s="2">
        <v>21.5</v>
      </c>
      <c r="T222" s="51">
        <v>16.681561618062087</v>
      </c>
      <c r="U222" s="2">
        <f t="shared" si="10"/>
        <v>4.8184383819379129</v>
      </c>
      <c r="V222" s="1" t="s">
        <v>180</v>
      </c>
      <c r="W222" s="58"/>
      <c r="X222" s="32"/>
      <c r="Y222" s="1" t="s">
        <v>376</v>
      </c>
      <c r="Z222" s="32"/>
      <c r="AA222" s="32"/>
      <c r="AB222" s="54" t="s">
        <v>338</v>
      </c>
      <c r="BK222" s="1" t="s">
        <v>149</v>
      </c>
    </row>
    <row r="223" spans="1:63" x14ac:dyDescent="0.2">
      <c r="A223" s="1">
        <v>220</v>
      </c>
      <c r="B223" s="44" t="s">
        <v>44</v>
      </c>
      <c r="C223" s="2" t="s">
        <v>45</v>
      </c>
      <c r="D223" s="54" t="s">
        <v>338</v>
      </c>
      <c r="E223" s="54" t="s">
        <v>59</v>
      </c>
      <c r="F223" s="2">
        <v>1926.5</v>
      </c>
      <c r="G223" s="2">
        <v>2011.2</v>
      </c>
      <c r="H223" s="2" t="s">
        <v>69</v>
      </c>
      <c r="K223" s="2">
        <v>1.0558674521926388</v>
      </c>
      <c r="L223" s="2">
        <v>1.6E-2</v>
      </c>
      <c r="M223" s="2">
        <v>48.11142762819064</v>
      </c>
      <c r="N223" s="2">
        <v>16</v>
      </c>
      <c r="P223" s="19">
        <f>(K223-K222*(1-R223/100))*100/R223</f>
        <v>1.0552399024818271</v>
      </c>
      <c r="Q223" s="2">
        <v>5.8</v>
      </c>
      <c r="R223" s="31">
        <v>98.5</v>
      </c>
      <c r="S223" s="2">
        <v>15.4</v>
      </c>
      <c r="T223" s="2">
        <v>10.78484438430311</v>
      </c>
      <c r="U223" s="2">
        <f t="shared" si="10"/>
        <v>4.6151556156968905</v>
      </c>
      <c r="V223" s="1" t="s">
        <v>180</v>
      </c>
      <c r="W223" s="58"/>
      <c r="X223" s="32"/>
      <c r="Y223" s="1" t="s">
        <v>376</v>
      </c>
      <c r="Z223" s="32"/>
      <c r="AA223" s="32"/>
      <c r="AB223" s="54" t="s">
        <v>338</v>
      </c>
      <c r="BK223" s="1" t="s">
        <v>149</v>
      </c>
    </row>
    <row r="224" spans="1:63" x14ac:dyDescent="0.2">
      <c r="A224" s="1">
        <v>221</v>
      </c>
      <c r="B224" s="44" t="s">
        <v>44</v>
      </c>
      <c r="C224" s="45" t="s">
        <v>45</v>
      </c>
      <c r="D224" s="53" t="s">
        <v>339</v>
      </c>
      <c r="E224" s="54" t="s">
        <v>59</v>
      </c>
      <c r="F224" s="45">
        <v>1932.7</v>
      </c>
      <c r="G224" s="45">
        <v>2011.2</v>
      </c>
      <c r="H224" s="45" t="s">
        <v>69</v>
      </c>
      <c r="I224" s="52"/>
      <c r="J224" s="52"/>
      <c r="K224" s="45">
        <v>1.0755742121058616</v>
      </c>
      <c r="L224" s="45">
        <v>1.6E-2</v>
      </c>
      <c r="M224" s="45">
        <v>67.67342873323544</v>
      </c>
      <c r="N224" s="45">
        <v>16</v>
      </c>
      <c r="P224" s="66">
        <f>(K224-1.093157005*(1-R224/100))*100/R224</f>
        <v>1.0751233712624222</v>
      </c>
      <c r="Q224" s="45">
        <v>5.8</v>
      </c>
      <c r="R224" s="59">
        <v>97.5</v>
      </c>
      <c r="S224" s="2">
        <v>15.5</v>
      </c>
      <c r="T224" s="45">
        <v>10.78484438430311</v>
      </c>
      <c r="U224" s="2">
        <f t="shared" si="10"/>
        <v>4.7151556156968901</v>
      </c>
      <c r="V224" s="1" t="s">
        <v>180</v>
      </c>
      <c r="W224" s="55"/>
      <c r="X224" s="32"/>
      <c r="Y224" s="1" t="s">
        <v>376</v>
      </c>
      <c r="Z224" s="32"/>
      <c r="AA224" s="32"/>
      <c r="AB224" s="53" t="s">
        <v>339</v>
      </c>
      <c r="BK224" s="1" t="s">
        <v>149</v>
      </c>
    </row>
    <row r="225" spans="1:63" x14ac:dyDescent="0.2">
      <c r="A225" s="1">
        <v>222</v>
      </c>
      <c r="B225" s="44" t="s">
        <v>44</v>
      </c>
      <c r="C225" s="45" t="s">
        <v>54</v>
      </c>
      <c r="D225" s="53" t="s">
        <v>340</v>
      </c>
      <c r="E225" s="54" t="s">
        <v>59</v>
      </c>
      <c r="F225" s="45">
        <v>1929.9</v>
      </c>
      <c r="G225" s="45">
        <v>2011.3</v>
      </c>
      <c r="H225" s="45" t="s">
        <v>47</v>
      </c>
      <c r="K225" s="45">
        <v>1.0717373958516379</v>
      </c>
      <c r="L225" s="45">
        <v>1.3999999999999999E-2</v>
      </c>
      <c r="M225" s="45">
        <v>63.864796358584329</v>
      </c>
      <c r="N225" s="45">
        <v>14</v>
      </c>
      <c r="P225" s="47">
        <f>K225</f>
        <v>1.0717373958516379</v>
      </c>
      <c r="Q225" s="45">
        <v>12</v>
      </c>
      <c r="R225" s="31">
        <v>100</v>
      </c>
      <c r="S225" s="2">
        <v>33.5</v>
      </c>
      <c r="T225" s="45">
        <v>22.873252142534959</v>
      </c>
      <c r="U225" s="2">
        <f t="shared" si="10"/>
        <v>10.626747857465041</v>
      </c>
      <c r="V225" s="1" t="s">
        <v>180</v>
      </c>
      <c r="W225" s="55"/>
      <c r="X225" s="32"/>
      <c r="Y225" s="1" t="s">
        <v>376</v>
      </c>
      <c r="Z225" s="32"/>
      <c r="AA225" s="32"/>
      <c r="AB225" s="53" t="s">
        <v>340</v>
      </c>
      <c r="AL225" s="48"/>
      <c r="BK225" s="1" t="s">
        <v>149</v>
      </c>
    </row>
    <row r="226" spans="1:63" x14ac:dyDescent="0.2">
      <c r="A226" s="1">
        <v>223</v>
      </c>
      <c r="B226" s="44" t="s">
        <v>44</v>
      </c>
      <c r="C226" s="45" t="s">
        <v>54</v>
      </c>
      <c r="D226" s="53" t="s">
        <v>341</v>
      </c>
      <c r="E226" s="54" t="s">
        <v>59</v>
      </c>
      <c r="F226" s="45">
        <v>1943.2</v>
      </c>
      <c r="G226" s="45">
        <v>2011.3</v>
      </c>
      <c r="H226" s="45" t="s">
        <v>69</v>
      </c>
      <c r="K226" s="45">
        <v>1.068460111953186</v>
      </c>
      <c r="L226" s="45">
        <v>1.8000000000000002E-2</v>
      </c>
      <c r="M226" s="45">
        <v>60.611586215193469</v>
      </c>
      <c r="N226" s="45">
        <v>18</v>
      </c>
      <c r="P226" s="47">
        <f>K226</f>
        <v>1.068460111953186</v>
      </c>
      <c r="Q226" s="45">
        <v>10</v>
      </c>
      <c r="R226" s="31">
        <v>100</v>
      </c>
      <c r="S226" s="2">
        <v>13.7</v>
      </c>
      <c r="T226" s="45">
        <v>11.23590437528191</v>
      </c>
      <c r="U226" s="2">
        <f t="shared" si="10"/>
        <v>2.4640956247180892</v>
      </c>
      <c r="V226" s="1" t="s">
        <v>180</v>
      </c>
      <c r="W226" s="55"/>
      <c r="X226" s="32"/>
      <c r="Y226" s="1" t="s">
        <v>376</v>
      </c>
      <c r="Z226" s="32"/>
      <c r="AA226" s="32"/>
      <c r="AB226" s="53" t="s">
        <v>341</v>
      </c>
      <c r="AL226" s="48"/>
      <c r="BK226" s="1" t="s">
        <v>149</v>
      </c>
    </row>
    <row r="227" spans="1:63" x14ac:dyDescent="0.2">
      <c r="A227" s="1">
        <v>224</v>
      </c>
      <c r="B227" s="44" t="s">
        <v>44</v>
      </c>
      <c r="C227" s="45" t="s">
        <v>45</v>
      </c>
      <c r="D227" s="53" t="s">
        <v>341</v>
      </c>
      <c r="E227" s="54" t="s">
        <v>59</v>
      </c>
      <c r="F227" s="45">
        <v>1943.2</v>
      </c>
      <c r="G227" s="45">
        <v>2011.3</v>
      </c>
      <c r="H227" s="45" t="s">
        <v>69</v>
      </c>
      <c r="I227" s="52"/>
      <c r="J227" s="52"/>
      <c r="K227" s="45">
        <v>1.0457624523834128</v>
      </c>
      <c r="L227" s="45">
        <v>1.4E-2</v>
      </c>
      <c r="M227" s="45">
        <v>38.08065553247264</v>
      </c>
      <c r="N227" s="45">
        <v>14</v>
      </c>
      <c r="P227" s="19">
        <f>(K227-K226*(1-R227/100))*100/R227</f>
        <v>1.0455331830948293</v>
      </c>
      <c r="Q227" s="45">
        <v>6.6</v>
      </c>
      <c r="R227" s="59">
        <v>99</v>
      </c>
      <c r="S227" s="2">
        <v>18.5</v>
      </c>
      <c r="T227" s="45">
        <v>12.092918358141631</v>
      </c>
      <c r="U227" s="2">
        <f t="shared" si="10"/>
        <v>6.4070816418583689</v>
      </c>
      <c r="V227" s="1" t="s">
        <v>180</v>
      </c>
      <c r="W227" s="55"/>
      <c r="X227" s="56"/>
      <c r="Y227" s="1" t="s">
        <v>376</v>
      </c>
      <c r="Z227" s="56"/>
      <c r="AA227" s="56"/>
      <c r="AB227" s="53" t="s">
        <v>341</v>
      </c>
      <c r="AL227" s="48"/>
      <c r="BK227" s="1" t="s">
        <v>149</v>
      </c>
    </row>
    <row r="228" spans="1:63" x14ac:dyDescent="0.2">
      <c r="A228" s="1">
        <v>225</v>
      </c>
      <c r="B228" s="44" t="s">
        <v>44</v>
      </c>
      <c r="C228" s="45" t="s">
        <v>45</v>
      </c>
      <c r="D228" s="53" t="s">
        <v>342</v>
      </c>
      <c r="E228" s="54" t="s">
        <v>59</v>
      </c>
      <c r="F228" s="45">
        <v>1942.9</v>
      </c>
      <c r="G228" s="45">
        <v>2011.3</v>
      </c>
      <c r="H228" s="45" t="s">
        <v>47</v>
      </c>
      <c r="K228" s="45">
        <v>1.0364035580234059</v>
      </c>
      <c r="L228" s="45">
        <v>1.6E-2</v>
      </c>
      <c r="M228" s="45">
        <v>28.790508262265256</v>
      </c>
      <c r="N228" s="45">
        <v>16</v>
      </c>
      <c r="P228" s="66">
        <f>(K228-1.090277954*(1-R228/100))*100/R228</f>
        <v>1.0354718543289989</v>
      </c>
      <c r="Q228" s="45">
        <v>6.7</v>
      </c>
      <c r="R228" s="31">
        <v>98.3</v>
      </c>
      <c r="S228" s="2">
        <v>19.100000000000001</v>
      </c>
      <c r="T228" s="45">
        <v>13.040144339197111</v>
      </c>
      <c r="U228" s="2">
        <f t="shared" si="10"/>
        <v>6.0598556608028904</v>
      </c>
      <c r="V228" s="1" t="s">
        <v>180</v>
      </c>
      <c r="W228" s="55"/>
      <c r="X228" s="56"/>
      <c r="Y228" s="1" t="s">
        <v>376</v>
      </c>
      <c r="Z228" s="56"/>
      <c r="AA228" s="56"/>
      <c r="AB228" s="53" t="s">
        <v>342</v>
      </c>
      <c r="AL228" s="48"/>
      <c r="BK228" s="1" t="s">
        <v>149</v>
      </c>
    </row>
    <row r="229" spans="1:63" x14ac:dyDescent="0.2">
      <c r="A229" s="1">
        <v>226</v>
      </c>
      <c r="B229" s="44" t="s">
        <v>44</v>
      </c>
      <c r="C229" s="45" t="s">
        <v>54</v>
      </c>
      <c r="D229" s="53" t="s">
        <v>343</v>
      </c>
      <c r="E229" s="54" t="s">
        <v>59</v>
      </c>
      <c r="F229" s="45">
        <v>1926.3</v>
      </c>
      <c r="G229" s="45">
        <v>2011.3</v>
      </c>
      <c r="H229" s="45" t="s">
        <v>47</v>
      </c>
      <c r="K229" s="45">
        <v>1.0858823723989626</v>
      </c>
      <c r="L229" s="45">
        <v>1.8000000000000002E-2</v>
      </c>
      <c r="M229" s="45">
        <v>77.905868968594973</v>
      </c>
      <c r="N229" s="45">
        <v>18</v>
      </c>
      <c r="P229" s="47">
        <f>K229</f>
        <v>1.0858823723989626</v>
      </c>
      <c r="Q229" s="60">
        <v>14.2</v>
      </c>
      <c r="R229" s="31">
        <v>100</v>
      </c>
      <c r="S229" s="2">
        <v>23.3</v>
      </c>
      <c r="T229" s="45">
        <v>16.648624267027515</v>
      </c>
      <c r="U229" s="2">
        <f t="shared" si="10"/>
        <v>6.6513757329724861</v>
      </c>
      <c r="V229" s="1" t="s">
        <v>180</v>
      </c>
      <c r="W229" s="55"/>
      <c r="X229" s="56"/>
      <c r="Y229" s="1" t="s">
        <v>376</v>
      </c>
      <c r="Z229" s="56"/>
      <c r="AA229" s="56"/>
      <c r="AB229" s="53" t="s">
        <v>343</v>
      </c>
      <c r="AL229" s="48"/>
      <c r="BK229" s="1" t="s">
        <v>149</v>
      </c>
    </row>
    <row r="230" spans="1:63" x14ac:dyDescent="0.2">
      <c r="A230" s="1">
        <v>227</v>
      </c>
      <c r="B230" s="44" t="s">
        <v>44</v>
      </c>
      <c r="C230" s="45" t="s">
        <v>45</v>
      </c>
      <c r="D230" s="53" t="s">
        <v>343</v>
      </c>
      <c r="E230" s="54" t="s">
        <v>59</v>
      </c>
      <c r="F230" s="45">
        <v>1926.3</v>
      </c>
      <c r="G230" s="45">
        <v>2011.3</v>
      </c>
      <c r="H230" s="45" t="s">
        <v>47</v>
      </c>
      <c r="K230" s="45">
        <v>1.0253775095087982</v>
      </c>
      <c r="L230" s="45">
        <v>1.4E-2</v>
      </c>
      <c r="M230" s="45">
        <v>17.845453155447721</v>
      </c>
      <c r="N230" s="45">
        <v>14</v>
      </c>
      <c r="P230" s="19">
        <f>(K230-K229*(1-R230/100))*100/R230</f>
        <v>1.0238896850114991</v>
      </c>
      <c r="Q230" s="60">
        <v>13.6</v>
      </c>
      <c r="R230" s="31">
        <v>97.6</v>
      </c>
      <c r="S230" s="2">
        <v>26.4</v>
      </c>
      <c r="T230" s="45">
        <v>20.12178619756428</v>
      </c>
      <c r="U230" s="2">
        <f t="shared" si="10"/>
        <v>6.2782138024357188</v>
      </c>
      <c r="V230" s="1" t="s">
        <v>180</v>
      </c>
      <c r="W230" s="55"/>
      <c r="X230" s="56"/>
      <c r="Y230" s="1" t="s">
        <v>376</v>
      </c>
      <c r="Z230" s="56"/>
      <c r="AA230" s="56"/>
      <c r="AB230" s="53" t="s">
        <v>343</v>
      </c>
      <c r="AL230" s="48"/>
      <c r="BK230" s="1" t="s">
        <v>149</v>
      </c>
    </row>
    <row r="231" spans="1:63" x14ac:dyDescent="0.2">
      <c r="A231" s="1">
        <v>228</v>
      </c>
      <c r="B231" s="44" t="s">
        <v>44</v>
      </c>
      <c r="C231" s="45" t="s">
        <v>54</v>
      </c>
      <c r="D231" s="53" t="s">
        <v>344</v>
      </c>
      <c r="E231" s="54" t="s">
        <v>59</v>
      </c>
      <c r="F231" s="45">
        <v>1944.7</v>
      </c>
      <c r="G231" s="45">
        <v>2011.3</v>
      </c>
      <c r="H231" s="45" t="s">
        <v>69</v>
      </c>
      <c r="K231" s="45">
        <v>1.0833842264510001</v>
      </c>
      <c r="L231" s="45">
        <v>2.2000000000000002E-2</v>
      </c>
      <c r="M231" s="45">
        <v>75.426073507047775</v>
      </c>
      <c r="N231" s="45">
        <v>22</v>
      </c>
      <c r="P231" s="47">
        <f>K231</f>
        <v>1.0833842264510001</v>
      </c>
      <c r="Q231" s="45">
        <v>6.2</v>
      </c>
      <c r="R231" s="31">
        <v>100</v>
      </c>
      <c r="S231" s="2">
        <v>8.1</v>
      </c>
      <c r="T231" s="45">
        <v>6.7568203198494814</v>
      </c>
      <c r="U231" s="2">
        <f t="shared" si="10"/>
        <v>1.3431796801505183</v>
      </c>
      <c r="V231" s="1" t="s">
        <v>180</v>
      </c>
      <c r="W231" s="55"/>
      <c r="X231" s="56"/>
      <c r="Y231" s="1" t="s">
        <v>376</v>
      </c>
      <c r="Z231" s="56"/>
      <c r="AA231" s="56"/>
      <c r="AB231" s="53" t="s">
        <v>344</v>
      </c>
      <c r="AL231" s="48"/>
      <c r="BK231" s="1" t="s">
        <v>149</v>
      </c>
    </row>
    <row r="232" spans="1:63" x14ac:dyDescent="0.2">
      <c r="A232" s="1">
        <v>229</v>
      </c>
      <c r="B232" s="44" t="s">
        <v>44</v>
      </c>
      <c r="C232" s="45" t="s">
        <v>45</v>
      </c>
      <c r="D232" s="53" t="s">
        <v>344</v>
      </c>
      <c r="E232" s="54" t="s">
        <v>59</v>
      </c>
      <c r="F232" s="45">
        <v>1944.7</v>
      </c>
      <c r="G232" s="45">
        <v>2011.3</v>
      </c>
      <c r="H232" s="45" t="s">
        <v>69</v>
      </c>
      <c r="K232" s="45">
        <v>1.0603769285642499</v>
      </c>
      <c r="L232" s="45">
        <v>1.7999999999999999E-2</v>
      </c>
      <c r="M232" s="45">
        <v>52.587778999652727</v>
      </c>
      <c r="N232" s="45">
        <v>18</v>
      </c>
      <c r="P232" s="19">
        <f>(K232-K231*(1-R232/100))*100/R232</f>
        <v>1.0596897899043987</v>
      </c>
      <c r="Q232" s="45">
        <v>5.9</v>
      </c>
      <c r="R232" s="31">
        <v>97.1</v>
      </c>
      <c r="S232" s="2">
        <v>16.2</v>
      </c>
      <c r="T232" s="45">
        <v>10.559314388813711</v>
      </c>
      <c r="U232" s="2">
        <f t="shared" si="10"/>
        <v>5.6406856111862886</v>
      </c>
      <c r="V232" s="1" t="s">
        <v>180</v>
      </c>
      <c r="W232" s="55"/>
      <c r="X232" s="32"/>
      <c r="Y232" s="1" t="s">
        <v>376</v>
      </c>
      <c r="Z232" s="32"/>
      <c r="AA232" s="32"/>
      <c r="AB232" s="53" t="s">
        <v>344</v>
      </c>
      <c r="AL232" s="48"/>
      <c r="BK232" s="1" t="s">
        <v>149</v>
      </c>
    </row>
    <row r="233" spans="1:63" s="92" customFormat="1" x14ac:dyDescent="0.2">
      <c r="A233" s="86">
        <v>230</v>
      </c>
      <c r="B233" s="87" t="s">
        <v>44</v>
      </c>
      <c r="C233" s="86" t="s">
        <v>54</v>
      </c>
      <c r="D233" s="133" t="s">
        <v>345</v>
      </c>
      <c r="E233" s="123">
        <v>21.107266435986162</v>
      </c>
      <c r="F233" s="86">
        <v>1952.3</v>
      </c>
      <c r="G233" s="86">
        <v>2005.8</v>
      </c>
      <c r="H233" s="86" t="s">
        <v>69</v>
      </c>
      <c r="I233" s="86"/>
      <c r="J233" s="86"/>
      <c r="K233" s="86">
        <v>1.0895387504612648</v>
      </c>
      <c r="L233" s="86">
        <v>8.2135607794440648E-3</v>
      </c>
      <c r="M233" s="86">
        <v>82.052346556551242</v>
      </c>
      <c r="N233" s="86">
        <v>8.2135607794440642</v>
      </c>
      <c r="O233" s="90"/>
      <c r="P233" s="125">
        <f>K233</f>
        <v>1.0895387504612648</v>
      </c>
      <c r="Q233" s="86">
        <v>107</v>
      </c>
      <c r="R233" s="90">
        <v>100</v>
      </c>
      <c r="S233" s="86">
        <v>142</v>
      </c>
      <c r="T233" s="86">
        <v>65</v>
      </c>
      <c r="U233" s="86">
        <f t="shared" si="10"/>
        <v>77</v>
      </c>
      <c r="V233" s="86" t="s">
        <v>151</v>
      </c>
      <c r="W233" s="133"/>
      <c r="X233" s="86" t="s">
        <v>346</v>
      </c>
      <c r="Y233" s="86" t="s">
        <v>253</v>
      </c>
      <c r="Z233" s="86" t="s">
        <v>253</v>
      </c>
      <c r="AA233" s="86" t="s">
        <v>249</v>
      </c>
      <c r="AB233" s="133" t="s">
        <v>345</v>
      </c>
      <c r="AC233" s="86" t="s">
        <v>160</v>
      </c>
      <c r="AD233" s="86" t="s">
        <v>261</v>
      </c>
      <c r="AE233" s="86" t="s">
        <v>160</v>
      </c>
      <c r="AF233" s="86" t="s">
        <v>261</v>
      </c>
      <c r="AG233" s="86" t="s">
        <v>261</v>
      </c>
      <c r="AH233" s="86">
        <v>5</v>
      </c>
      <c r="AI233" s="86" t="s">
        <v>160</v>
      </c>
      <c r="AJ233" s="86">
        <f>AK233-AH233</f>
        <v>2000.8</v>
      </c>
      <c r="AK233" s="86">
        <f>G233</f>
        <v>2005.8</v>
      </c>
      <c r="AL233" s="86" t="s">
        <v>255</v>
      </c>
      <c r="AM233" s="86"/>
      <c r="AN233" s="86"/>
      <c r="AO233" s="86"/>
      <c r="AP233" s="86"/>
      <c r="AQ233" s="86"/>
      <c r="AR233" s="86"/>
      <c r="AS233" s="86"/>
      <c r="AT233" s="86"/>
      <c r="AU233" s="86"/>
      <c r="AV233" s="86"/>
      <c r="AW233" s="86"/>
      <c r="AX233" s="86"/>
      <c r="AY233" s="86"/>
      <c r="AZ233" s="86"/>
      <c r="BA233" s="86"/>
      <c r="BB233" s="86"/>
      <c r="BC233" s="86"/>
      <c r="BD233" s="86"/>
      <c r="BE233" s="86"/>
      <c r="BF233" s="86" t="s">
        <v>160</v>
      </c>
      <c r="BG233" s="86">
        <f>BH233-BI233</f>
        <v>2004.8</v>
      </c>
      <c r="BH233" s="86">
        <f>G233</f>
        <v>2005.8</v>
      </c>
      <c r="BI233" s="86">
        <v>1</v>
      </c>
      <c r="BJ233" s="86"/>
      <c r="BK233" s="86" t="s">
        <v>149</v>
      </c>
    </row>
    <row r="234" spans="1:63" s="92" customFormat="1" x14ac:dyDescent="0.2">
      <c r="A234" s="86">
        <v>231</v>
      </c>
      <c r="B234" s="87" t="s">
        <v>44</v>
      </c>
      <c r="C234" s="139" t="s">
        <v>45</v>
      </c>
      <c r="D234" s="140" t="s">
        <v>345</v>
      </c>
      <c r="E234" s="153">
        <v>21.107266435986162</v>
      </c>
      <c r="F234" s="130">
        <v>1952.3</v>
      </c>
      <c r="G234" s="130">
        <v>2005.8</v>
      </c>
      <c r="H234" s="130" t="s">
        <v>69</v>
      </c>
      <c r="I234" s="130"/>
      <c r="J234" s="130"/>
      <c r="K234" s="130">
        <v>1.0168413571877248</v>
      </c>
      <c r="L234" s="130">
        <v>1.1883751965424547E-2</v>
      </c>
      <c r="M234" s="130">
        <v>9.8544692925475186</v>
      </c>
      <c r="N234" s="130">
        <v>11.883751965424548</v>
      </c>
      <c r="O234" s="86"/>
      <c r="P234" s="89">
        <f>(K234-K233*(1-R234/100))*100/R234</f>
        <v>1.0153577369168363</v>
      </c>
      <c r="Q234" s="130">
        <v>21.8</v>
      </c>
      <c r="R234" s="90">
        <v>98</v>
      </c>
      <c r="S234" s="86">
        <v>46</v>
      </c>
      <c r="T234" s="130">
        <v>37</v>
      </c>
      <c r="U234" s="86">
        <f t="shared" si="10"/>
        <v>9</v>
      </c>
      <c r="V234" s="86" t="s">
        <v>151</v>
      </c>
      <c r="W234" s="154"/>
      <c r="X234" s="86" t="s">
        <v>346</v>
      </c>
      <c r="Y234" s="86" t="s">
        <v>253</v>
      </c>
      <c r="Z234" s="86" t="s">
        <v>253</v>
      </c>
      <c r="AA234" s="86" t="s">
        <v>249</v>
      </c>
      <c r="AB234" s="140" t="s">
        <v>345</v>
      </c>
      <c r="AC234" s="86" t="s">
        <v>160</v>
      </c>
      <c r="AD234" s="86" t="s">
        <v>261</v>
      </c>
      <c r="AE234" s="86" t="s">
        <v>160</v>
      </c>
      <c r="AF234" s="86" t="s">
        <v>261</v>
      </c>
      <c r="AG234" s="86" t="s">
        <v>261</v>
      </c>
      <c r="AH234" s="86">
        <v>5</v>
      </c>
      <c r="AI234" s="86" t="s">
        <v>160</v>
      </c>
      <c r="AJ234" s="86">
        <f>AK234-AH234</f>
        <v>2000.8</v>
      </c>
      <c r="AK234" s="86">
        <f>G234</f>
        <v>2005.8</v>
      </c>
      <c r="AL234" s="86" t="s">
        <v>255</v>
      </c>
      <c r="AM234" s="86"/>
      <c r="AN234" s="86"/>
      <c r="AO234" s="86"/>
      <c r="AP234" s="86"/>
      <c r="AQ234" s="86"/>
      <c r="AR234" s="86"/>
      <c r="AS234" s="86"/>
      <c r="AT234" s="86"/>
      <c r="AU234" s="86"/>
      <c r="AV234" s="86"/>
      <c r="AW234" s="86"/>
      <c r="AX234" s="86"/>
      <c r="AY234" s="86"/>
      <c r="AZ234" s="86"/>
      <c r="BA234" s="86"/>
      <c r="BB234" s="86"/>
      <c r="BC234" s="86"/>
      <c r="BD234" s="86"/>
      <c r="BE234" s="86"/>
      <c r="BF234" s="86" t="s">
        <v>160</v>
      </c>
      <c r="BG234" s="86">
        <f>BH234-BI234</f>
        <v>2004.8</v>
      </c>
      <c r="BH234" s="86">
        <f>G234</f>
        <v>2005.8</v>
      </c>
      <c r="BI234" s="86">
        <v>1</v>
      </c>
      <c r="BJ234" s="86"/>
      <c r="BK234" s="86" t="s">
        <v>149</v>
      </c>
    </row>
    <row r="235" spans="1:63" s="92" customFormat="1" x14ac:dyDescent="0.2">
      <c r="A235" s="86">
        <v>232</v>
      </c>
      <c r="B235" s="87" t="s">
        <v>44</v>
      </c>
      <c r="C235" s="130" t="s">
        <v>54</v>
      </c>
      <c r="D235" s="131" t="s">
        <v>347</v>
      </c>
      <c r="E235" s="153">
        <v>24.337479718766904</v>
      </c>
      <c r="F235" s="102">
        <v>1913.9</v>
      </c>
      <c r="G235" s="130">
        <v>2005.8</v>
      </c>
      <c r="H235" s="130" t="s">
        <v>47</v>
      </c>
      <c r="I235" s="86"/>
      <c r="J235" s="86"/>
      <c r="K235" s="130">
        <v>1.1073200180786418</v>
      </c>
      <c r="L235" s="130">
        <v>7.8245831022422871E-3</v>
      </c>
      <c r="M235" s="130">
        <v>99.711436095117236</v>
      </c>
      <c r="N235" s="130">
        <v>7.8245831022422871</v>
      </c>
      <c r="O235" s="90"/>
      <c r="P235" s="125">
        <f>K235</f>
        <v>1.1073200180786418</v>
      </c>
      <c r="Q235" s="130">
        <v>126</v>
      </c>
      <c r="R235" s="90">
        <v>100</v>
      </c>
      <c r="S235" s="86">
        <v>115</v>
      </c>
      <c r="T235" s="130">
        <v>67</v>
      </c>
      <c r="U235" s="86">
        <f t="shared" si="10"/>
        <v>48</v>
      </c>
      <c r="V235" s="86" t="s">
        <v>151</v>
      </c>
      <c r="W235" s="137"/>
      <c r="X235" s="86" t="s">
        <v>152</v>
      </c>
      <c r="Y235" s="86" t="s">
        <v>166</v>
      </c>
      <c r="Z235" s="86" t="s">
        <v>166</v>
      </c>
      <c r="AA235" s="86"/>
      <c r="AB235" s="131" t="s">
        <v>347</v>
      </c>
      <c r="AC235" s="86" t="s">
        <v>160</v>
      </c>
      <c r="AD235" s="86"/>
      <c r="AE235" s="86"/>
      <c r="AF235" s="86"/>
      <c r="AG235" s="86"/>
      <c r="AH235" s="86" t="s">
        <v>261</v>
      </c>
      <c r="AI235" s="86" t="s">
        <v>160</v>
      </c>
      <c r="AJ235" s="86" t="s">
        <v>261</v>
      </c>
      <c r="AK235" s="86">
        <f t="shared" ref="AK235:AK236" si="15">G235</f>
        <v>2005.8</v>
      </c>
      <c r="AL235" s="124"/>
      <c r="AM235" s="86"/>
      <c r="AN235" s="86"/>
      <c r="AO235" s="86"/>
      <c r="AP235" s="86"/>
      <c r="AQ235" s="86"/>
      <c r="AR235" s="86"/>
      <c r="AS235" s="86"/>
      <c r="AT235" s="86"/>
      <c r="AU235" s="86"/>
      <c r="AV235" s="86"/>
      <c r="AW235" s="86"/>
      <c r="AX235" s="86"/>
      <c r="AY235" s="86"/>
      <c r="AZ235" s="86"/>
      <c r="BA235" s="86"/>
      <c r="BB235" s="86"/>
      <c r="BC235" s="86"/>
      <c r="BD235" s="86"/>
      <c r="BE235" s="86"/>
      <c r="BF235" s="86"/>
      <c r="BG235" s="86"/>
      <c r="BH235" s="86"/>
      <c r="BI235" s="86"/>
      <c r="BJ235" s="86" t="s">
        <v>374</v>
      </c>
      <c r="BK235" s="86" t="s">
        <v>149</v>
      </c>
    </row>
    <row r="236" spans="1:63" s="92" customFormat="1" x14ac:dyDescent="0.2">
      <c r="A236" s="86">
        <v>233</v>
      </c>
      <c r="B236" s="87" t="s">
        <v>44</v>
      </c>
      <c r="C236" s="130" t="s">
        <v>45</v>
      </c>
      <c r="D236" s="131" t="s">
        <v>347</v>
      </c>
      <c r="E236" s="153">
        <v>24.337479718766904</v>
      </c>
      <c r="F236" s="102">
        <v>1913.9</v>
      </c>
      <c r="G236" s="130">
        <v>2005.8</v>
      </c>
      <c r="H236" s="130" t="s">
        <v>47</v>
      </c>
      <c r="I236" s="86"/>
      <c r="J236" s="86"/>
      <c r="K236" s="130">
        <v>1.0303066657625819</v>
      </c>
      <c r="L236" s="130">
        <v>1.5825731816804869E-2</v>
      </c>
      <c r="M236" s="130">
        <v>23.2</v>
      </c>
      <c r="N236" s="130">
        <v>15.82573181680487</v>
      </c>
      <c r="O236" s="90"/>
      <c r="P236" s="89">
        <f>(K236-K235*(1-R236/100))*100/R236</f>
        <v>1.0287349646949071</v>
      </c>
      <c r="Q236" s="130">
        <v>20</v>
      </c>
      <c r="R236" s="90">
        <v>98</v>
      </c>
      <c r="S236" s="86">
        <v>35</v>
      </c>
      <c r="T236" s="130">
        <v>28</v>
      </c>
      <c r="U236" s="86">
        <f t="shared" si="10"/>
        <v>7</v>
      </c>
      <c r="V236" s="86" t="s">
        <v>151</v>
      </c>
      <c r="W236" s="131"/>
      <c r="X236" s="86" t="s">
        <v>152</v>
      </c>
      <c r="Y236" s="86" t="s">
        <v>166</v>
      </c>
      <c r="Z236" s="86" t="s">
        <v>166</v>
      </c>
      <c r="AA236" s="86"/>
      <c r="AB236" s="131" t="s">
        <v>347</v>
      </c>
      <c r="AC236" s="86" t="s">
        <v>160</v>
      </c>
      <c r="AD236" s="86"/>
      <c r="AE236" s="86"/>
      <c r="AF236" s="86"/>
      <c r="AG236" s="86"/>
      <c r="AH236" s="86" t="s">
        <v>261</v>
      </c>
      <c r="AI236" s="86" t="s">
        <v>160</v>
      </c>
      <c r="AJ236" s="86" t="s">
        <v>261</v>
      </c>
      <c r="AK236" s="86">
        <f t="shared" si="15"/>
        <v>2005.8</v>
      </c>
      <c r="AL236" s="124"/>
      <c r="AM236" s="86"/>
      <c r="AN236" s="86"/>
      <c r="AO236" s="86"/>
      <c r="AP236" s="86"/>
      <c r="AQ236" s="86"/>
      <c r="AR236" s="86"/>
      <c r="AS236" s="86"/>
      <c r="AT236" s="86"/>
      <c r="AU236" s="86"/>
      <c r="AV236" s="86"/>
      <c r="AW236" s="86"/>
      <c r="AX236" s="86"/>
      <c r="AY236" s="86"/>
      <c r="AZ236" s="86"/>
      <c r="BA236" s="86"/>
      <c r="BB236" s="86"/>
      <c r="BC236" s="86"/>
      <c r="BD236" s="86"/>
      <c r="BE236" s="86"/>
      <c r="BF236" s="86"/>
      <c r="BG236" s="86"/>
      <c r="BH236" s="86"/>
      <c r="BI236" s="86"/>
      <c r="BJ236" s="86" t="s">
        <v>374</v>
      </c>
      <c r="BK236" s="86" t="s">
        <v>149</v>
      </c>
    </row>
    <row r="237" spans="1:63" s="92" customFormat="1" x14ac:dyDescent="0.2">
      <c r="A237" s="86">
        <v>234</v>
      </c>
      <c r="B237" s="87" t="s">
        <v>44</v>
      </c>
      <c r="C237" s="130" t="s">
        <v>54</v>
      </c>
      <c r="D237" s="131" t="s">
        <v>348</v>
      </c>
      <c r="E237" s="153">
        <v>30.470914127423825</v>
      </c>
      <c r="F237" s="102">
        <v>1986.6</v>
      </c>
      <c r="G237" s="130">
        <v>2005.9</v>
      </c>
      <c r="H237" s="130" t="s">
        <v>47</v>
      </c>
      <c r="I237" s="86"/>
      <c r="J237" s="86"/>
      <c r="K237" s="130">
        <v>1.0949690000000001</v>
      </c>
      <c r="L237" s="130">
        <v>1.8700000000000001E-2</v>
      </c>
      <c r="M237" s="130">
        <v>88</v>
      </c>
      <c r="N237" s="130">
        <v>18</v>
      </c>
      <c r="O237" s="90"/>
      <c r="P237" s="125">
        <f>K237</f>
        <v>1.0949690000000001</v>
      </c>
      <c r="Q237" s="130">
        <v>104</v>
      </c>
      <c r="R237" s="90">
        <v>100</v>
      </c>
      <c r="S237" s="86">
        <v>81</v>
      </c>
      <c r="T237" s="130">
        <v>50</v>
      </c>
      <c r="U237" s="86">
        <f t="shared" si="10"/>
        <v>31</v>
      </c>
      <c r="V237" s="86" t="s">
        <v>151</v>
      </c>
      <c r="W237" s="131"/>
      <c r="X237" s="86" t="s">
        <v>152</v>
      </c>
      <c r="Y237" s="86" t="s">
        <v>166</v>
      </c>
      <c r="Z237" s="86" t="s">
        <v>166</v>
      </c>
      <c r="AA237" s="86"/>
      <c r="AB237" s="131" t="s">
        <v>348</v>
      </c>
      <c r="AC237" s="86" t="s">
        <v>160</v>
      </c>
      <c r="AD237" s="86"/>
      <c r="AE237" s="86"/>
      <c r="AF237" s="86"/>
      <c r="AG237" s="86"/>
      <c r="AH237" s="86">
        <v>1</v>
      </c>
      <c r="AI237" s="86" t="s">
        <v>160</v>
      </c>
      <c r="AJ237" s="86">
        <f>AK237-AH237</f>
        <v>2004.9</v>
      </c>
      <c r="AK237" s="86">
        <f>G237</f>
        <v>2005.9</v>
      </c>
      <c r="AL237" s="124"/>
      <c r="AM237" s="86"/>
      <c r="AN237" s="86"/>
      <c r="AO237" s="86"/>
      <c r="AP237" s="86"/>
      <c r="AQ237" s="86"/>
      <c r="AR237" s="86"/>
      <c r="AS237" s="86"/>
      <c r="AT237" s="86"/>
      <c r="AU237" s="86"/>
      <c r="AV237" s="86"/>
      <c r="AW237" s="86"/>
      <c r="AX237" s="86"/>
      <c r="AY237" s="86"/>
      <c r="AZ237" s="86"/>
      <c r="BA237" s="86"/>
      <c r="BB237" s="86"/>
      <c r="BC237" s="86"/>
      <c r="BD237" s="86"/>
      <c r="BE237" s="86"/>
      <c r="BF237" s="86"/>
      <c r="BG237" s="86"/>
      <c r="BH237" s="86"/>
      <c r="BI237" s="86"/>
      <c r="BJ237" s="86"/>
      <c r="BK237" s="86" t="s">
        <v>149</v>
      </c>
    </row>
    <row r="238" spans="1:63" s="92" customFormat="1" x14ac:dyDescent="0.2">
      <c r="A238" s="86">
        <v>235</v>
      </c>
      <c r="B238" s="87" t="s">
        <v>44</v>
      </c>
      <c r="C238" s="130" t="s">
        <v>45</v>
      </c>
      <c r="D238" s="131" t="s">
        <v>348</v>
      </c>
      <c r="E238" s="153">
        <v>30.470914127423825</v>
      </c>
      <c r="F238" s="102">
        <v>1986.6</v>
      </c>
      <c r="G238" s="130">
        <v>2005.9</v>
      </c>
      <c r="H238" s="130" t="s">
        <v>47</v>
      </c>
      <c r="I238" s="86"/>
      <c r="J238" s="86"/>
      <c r="K238" s="130">
        <v>1.14422</v>
      </c>
      <c r="L238" s="130">
        <v>5.3999999999999999E-2</v>
      </c>
      <c r="M238" s="130">
        <v>137</v>
      </c>
      <c r="N238" s="130">
        <v>53</v>
      </c>
      <c r="O238" s="90"/>
      <c r="P238" s="89">
        <f>(K238-K237*(1-R238/100))*100/R238</f>
        <v>1.1447174848484849</v>
      </c>
      <c r="Q238" s="130">
        <v>30</v>
      </c>
      <c r="R238" s="90">
        <v>99</v>
      </c>
      <c r="S238" s="86">
        <v>59</v>
      </c>
      <c r="T238" s="130">
        <v>29</v>
      </c>
      <c r="U238" s="86">
        <f t="shared" si="10"/>
        <v>30</v>
      </c>
      <c r="V238" s="86" t="s">
        <v>151</v>
      </c>
      <c r="W238" s="131"/>
      <c r="X238" s="86" t="s">
        <v>152</v>
      </c>
      <c r="Y238" s="86" t="s">
        <v>166</v>
      </c>
      <c r="Z238" s="86" t="s">
        <v>166</v>
      </c>
      <c r="AA238" s="86"/>
      <c r="AB238" s="131" t="s">
        <v>348</v>
      </c>
      <c r="AC238" s="86" t="s">
        <v>160</v>
      </c>
      <c r="AD238" s="86"/>
      <c r="AE238" s="86"/>
      <c r="AF238" s="86"/>
      <c r="AG238" s="86"/>
      <c r="AH238" s="86">
        <v>1</v>
      </c>
      <c r="AI238" s="86" t="s">
        <v>160</v>
      </c>
      <c r="AJ238" s="86">
        <f>AK238-AH238</f>
        <v>2004.9</v>
      </c>
      <c r="AK238" s="86">
        <f>G238</f>
        <v>2005.9</v>
      </c>
      <c r="AL238" s="124"/>
      <c r="AM238" s="86"/>
      <c r="AN238" s="86"/>
      <c r="AO238" s="86"/>
      <c r="AP238" s="86"/>
      <c r="AQ238" s="86"/>
      <c r="AR238" s="86"/>
      <c r="AS238" s="86"/>
      <c r="AT238" s="86"/>
      <c r="AU238" s="86"/>
      <c r="AV238" s="86"/>
      <c r="AW238" s="86"/>
      <c r="AX238" s="86"/>
      <c r="AY238" s="86"/>
      <c r="AZ238" s="86"/>
      <c r="BA238" s="86"/>
      <c r="BB238" s="86"/>
      <c r="BC238" s="86"/>
      <c r="BD238" s="86"/>
      <c r="BE238" s="86"/>
      <c r="BF238" s="86"/>
      <c r="BG238" s="86"/>
      <c r="BH238" s="86"/>
      <c r="BI238" s="86"/>
      <c r="BJ238" s="86"/>
      <c r="BK238" s="86" t="s">
        <v>149</v>
      </c>
    </row>
    <row r="239" spans="1:63" s="92" customFormat="1" x14ac:dyDescent="0.2">
      <c r="A239" s="86">
        <v>236</v>
      </c>
      <c r="B239" s="87" t="s">
        <v>44</v>
      </c>
      <c r="C239" s="130" t="s">
        <v>54</v>
      </c>
      <c r="D239" s="131" t="s">
        <v>349</v>
      </c>
      <c r="E239" s="153">
        <v>20.519134092541297</v>
      </c>
      <c r="F239" s="102">
        <v>1934.1</v>
      </c>
      <c r="G239" s="130">
        <v>2004</v>
      </c>
      <c r="H239" s="130" t="s">
        <v>69</v>
      </c>
      <c r="I239" s="86"/>
      <c r="J239" s="86"/>
      <c r="K239" s="130">
        <v>1.083</v>
      </c>
      <c r="L239" s="130">
        <v>1.18E-2</v>
      </c>
      <c r="M239" s="130">
        <v>76</v>
      </c>
      <c r="N239" s="130">
        <v>11</v>
      </c>
      <c r="O239" s="90"/>
      <c r="P239" s="125">
        <f>K239</f>
        <v>1.083</v>
      </c>
      <c r="Q239" s="130">
        <v>210</v>
      </c>
      <c r="R239" s="90">
        <v>100</v>
      </c>
      <c r="S239" s="86">
        <v>135</v>
      </c>
      <c r="T239" s="130">
        <v>58</v>
      </c>
      <c r="U239" s="86">
        <f t="shared" si="10"/>
        <v>77</v>
      </c>
      <c r="V239" s="86" t="s">
        <v>151</v>
      </c>
      <c r="W239" s="131"/>
      <c r="X239" s="86" t="s">
        <v>181</v>
      </c>
      <c r="Y239" s="86" t="s">
        <v>166</v>
      </c>
      <c r="Z239" s="86" t="s">
        <v>166</v>
      </c>
      <c r="AA239" s="86"/>
      <c r="AB239" s="131" t="s">
        <v>349</v>
      </c>
      <c r="AC239" s="86" t="s">
        <v>160</v>
      </c>
      <c r="AD239" s="86"/>
      <c r="AE239" s="86"/>
      <c r="AF239" s="86"/>
      <c r="AG239" s="86"/>
      <c r="AH239" s="86">
        <v>0.2</v>
      </c>
      <c r="AI239" s="86" t="s">
        <v>160</v>
      </c>
      <c r="AJ239" s="86">
        <f>AK239-AH239</f>
        <v>2003.8</v>
      </c>
      <c r="AK239" s="86">
        <f>G239</f>
        <v>2004</v>
      </c>
      <c r="AL239" s="124" t="s">
        <v>255</v>
      </c>
      <c r="AM239" s="86"/>
      <c r="AN239" s="86"/>
      <c r="AO239" s="86"/>
      <c r="AP239" s="86"/>
      <c r="AQ239" s="86" t="s">
        <v>44</v>
      </c>
      <c r="AR239" s="86">
        <f>AS239-AH239</f>
        <v>2003.8</v>
      </c>
      <c r="AS239" s="86">
        <f>G239</f>
        <v>2004</v>
      </c>
      <c r="AT239" s="86"/>
      <c r="AU239" s="86"/>
      <c r="AV239" s="86"/>
      <c r="AW239" s="86"/>
      <c r="AX239" s="86"/>
      <c r="AY239" s="86"/>
      <c r="AZ239" s="86"/>
      <c r="BA239" s="86"/>
      <c r="BB239" s="86"/>
      <c r="BC239" s="86"/>
      <c r="BD239" s="86"/>
      <c r="BE239" s="86"/>
      <c r="BF239" s="86"/>
      <c r="BG239" s="86"/>
      <c r="BH239" s="86"/>
      <c r="BI239" s="86"/>
      <c r="BJ239" s="86"/>
      <c r="BK239" s="86" t="s">
        <v>149</v>
      </c>
    </row>
    <row r="240" spans="1:63" s="92" customFormat="1" x14ac:dyDescent="0.2">
      <c r="A240" s="86">
        <v>237</v>
      </c>
      <c r="B240" s="87" t="s">
        <v>44</v>
      </c>
      <c r="C240" s="130" t="s">
        <v>54</v>
      </c>
      <c r="D240" s="131" t="s">
        <v>350</v>
      </c>
      <c r="E240" s="153">
        <v>19.267171444023798</v>
      </c>
      <c r="F240" s="102">
        <v>1943</v>
      </c>
      <c r="G240" s="130">
        <v>2004</v>
      </c>
      <c r="H240" s="130" t="s">
        <v>69</v>
      </c>
      <c r="I240" s="86"/>
      <c r="J240" s="86"/>
      <c r="K240" s="130">
        <v>1.0509999999999999</v>
      </c>
      <c r="L240" s="130">
        <v>3.9100000000000003E-2</v>
      </c>
      <c r="M240" s="130">
        <v>44</v>
      </c>
      <c r="N240" s="130">
        <v>4</v>
      </c>
      <c r="O240" s="90"/>
      <c r="P240" s="125">
        <f>K240</f>
        <v>1.0509999999999999</v>
      </c>
      <c r="Q240" s="130">
        <v>290</v>
      </c>
      <c r="R240" s="90">
        <v>100</v>
      </c>
      <c r="S240" s="86">
        <v>150</v>
      </c>
      <c r="T240" s="130">
        <v>118</v>
      </c>
      <c r="U240" s="86">
        <f t="shared" si="10"/>
        <v>32</v>
      </c>
      <c r="V240" s="86" t="s">
        <v>151</v>
      </c>
      <c r="W240" s="131"/>
      <c r="X240" s="86" t="s">
        <v>211</v>
      </c>
      <c r="Y240" s="86" t="s">
        <v>253</v>
      </c>
      <c r="Z240" s="86" t="s">
        <v>253</v>
      </c>
      <c r="AA240" s="86"/>
      <c r="AB240" s="131" t="s">
        <v>350</v>
      </c>
      <c r="AC240" s="86" t="s">
        <v>160</v>
      </c>
      <c r="AD240" s="86"/>
      <c r="AE240" s="86"/>
      <c r="AF240" s="86"/>
      <c r="AG240" s="86"/>
      <c r="AH240" s="86">
        <v>4</v>
      </c>
      <c r="AI240" s="86" t="s">
        <v>160</v>
      </c>
      <c r="AJ240" s="86">
        <f>F240+43</f>
        <v>1986</v>
      </c>
      <c r="AK240" s="86">
        <f t="shared" ref="AK240:AK241" si="16">G240</f>
        <v>2004</v>
      </c>
      <c r="AL240" s="124" t="s">
        <v>255</v>
      </c>
      <c r="AM240" s="86"/>
      <c r="AN240" s="86"/>
      <c r="AO240" s="86"/>
      <c r="AP240" s="86"/>
      <c r="AQ240" s="86"/>
      <c r="AR240" s="86"/>
      <c r="AS240" s="86"/>
      <c r="AT240" s="86"/>
      <c r="AU240" s="86"/>
      <c r="AV240" s="86"/>
      <c r="AW240" s="86"/>
      <c r="AX240" s="86"/>
      <c r="AY240" s="86"/>
      <c r="AZ240" s="86"/>
      <c r="BA240" s="86"/>
      <c r="BB240" s="86"/>
      <c r="BC240" s="86"/>
      <c r="BD240" s="86"/>
      <c r="BE240" s="86"/>
      <c r="BF240" s="86"/>
      <c r="BG240" s="86">
        <f>G240-10</f>
        <v>1994</v>
      </c>
      <c r="BH240" s="86">
        <f>BG240+BI240</f>
        <v>1997</v>
      </c>
      <c r="BI240" s="86">
        <v>3</v>
      </c>
      <c r="BJ240" s="86" t="s">
        <v>375</v>
      </c>
      <c r="BK240" s="86" t="s">
        <v>149</v>
      </c>
    </row>
    <row r="241" spans="1:63" s="92" customFormat="1" x14ac:dyDescent="0.2">
      <c r="A241" s="86">
        <v>238</v>
      </c>
      <c r="B241" s="87" t="s">
        <v>44</v>
      </c>
      <c r="C241" s="130" t="s">
        <v>45</v>
      </c>
      <c r="D241" s="131" t="s">
        <v>350</v>
      </c>
      <c r="E241" s="123">
        <v>19.267171444023798</v>
      </c>
      <c r="F241" s="102">
        <v>1943</v>
      </c>
      <c r="G241" s="130">
        <v>2004</v>
      </c>
      <c r="H241" s="130" t="s">
        <v>69</v>
      </c>
      <c r="I241" s="86"/>
      <c r="J241" s="86"/>
      <c r="K241" s="130">
        <v>0.96299999999999997</v>
      </c>
      <c r="L241" s="130">
        <v>9.4999999999999998E-3</v>
      </c>
      <c r="M241" s="130">
        <v>-40</v>
      </c>
      <c r="N241" s="130">
        <v>4</v>
      </c>
      <c r="O241" s="90"/>
      <c r="P241" s="89">
        <f>(K241-K240*(1-R241/100))*100/R241</f>
        <v>0.96165989847715727</v>
      </c>
      <c r="Q241" s="130">
        <v>40</v>
      </c>
      <c r="R241" s="90">
        <v>98.5</v>
      </c>
      <c r="S241" s="86">
        <v>20</v>
      </c>
      <c r="T241" s="130">
        <v>12</v>
      </c>
      <c r="U241" s="86">
        <f t="shared" si="10"/>
        <v>8</v>
      </c>
      <c r="V241" s="86" t="s">
        <v>151</v>
      </c>
      <c r="W241" s="131"/>
      <c r="X241" s="86" t="s">
        <v>211</v>
      </c>
      <c r="Y241" s="86" t="s">
        <v>253</v>
      </c>
      <c r="Z241" s="86" t="s">
        <v>253</v>
      </c>
      <c r="AA241" s="86"/>
      <c r="AB241" s="131" t="s">
        <v>350</v>
      </c>
      <c r="AC241" s="86" t="s">
        <v>160</v>
      </c>
      <c r="AD241" s="86"/>
      <c r="AE241" s="86"/>
      <c r="AF241" s="86"/>
      <c r="AG241" s="86"/>
      <c r="AH241" s="86">
        <v>4</v>
      </c>
      <c r="AI241" s="86" t="s">
        <v>160</v>
      </c>
      <c r="AJ241" s="86">
        <f>F241+43</f>
        <v>1986</v>
      </c>
      <c r="AK241" s="86">
        <f t="shared" si="16"/>
        <v>2004</v>
      </c>
      <c r="AL241" s="124" t="s">
        <v>255</v>
      </c>
      <c r="AM241" s="86"/>
      <c r="AN241" s="86"/>
      <c r="AO241" s="86"/>
      <c r="AP241" s="86"/>
      <c r="AQ241" s="86"/>
      <c r="AR241" s="86"/>
      <c r="AS241" s="86"/>
      <c r="AT241" s="86"/>
      <c r="AU241" s="86"/>
      <c r="AV241" s="86"/>
      <c r="AW241" s="86"/>
      <c r="AX241" s="86"/>
      <c r="AY241" s="86"/>
      <c r="AZ241" s="86"/>
      <c r="BA241" s="86"/>
      <c r="BB241" s="86"/>
      <c r="BC241" s="86"/>
      <c r="BD241" s="86"/>
      <c r="BE241" s="86"/>
      <c r="BF241" s="86"/>
      <c r="BG241" s="86">
        <f>G241-10</f>
        <v>1994</v>
      </c>
      <c r="BH241" s="86">
        <f>BG241+BI241</f>
        <v>1997</v>
      </c>
      <c r="BI241" s="86">
        <v>3</v>
      </c>
      <c r="BJ241" s="86" t="s">
        <v>375</v>
      </c>
      <c r="BK241" s="86" t="s">
        <v>149</v>
      </c>
    </row>
    <row r="242" spans="1:63" s="92" customFormat="1" x14ac:dyDescent="0.2">
      <c r="A242" s="86">
        <v>239</v>
      </c>
      <c r="B242" s="86" t="s">
        <v>63</v>
      </c>
      <c r="C242" s="86" t="s">
        <v>54</v>
      </c>
      <c r="D242" s="91" t="s">
        <v>351</v>
      </c>
      <c r="E242" s="88">
        <v>35.1</v>
      </c>
      <c r="F242" s="135">
        <v>1957.7</v>
      </c>
      <c r="G242" s="134">
        <v>2009.3</v>
      </c>
      <c r="H242" s="155" t="s">
        <v>47</v>
      </c>
      <c r="I242" s="91">
        <v>1.98</v>
      </c>
      <c r="J242" s="91">
        <v>2.25</v>
      </c>
      <c r="K242" s="156">
        <v>1.1707747042330972</v>
      </c>
      <c r="L242" s="157">
        <v>1.9E-2</v>
      </c>
      <c r="M242" s="158">
        <v>161.88627423519807</v>
      </c>
      <c r="N242" s="151">
        <v>19</v>
      </c>
      <c r="O242" s="159"/>
      <c r="P242" s="159">
        <f>K242</f>
        <v>1.1707747042330972</v>
      </c>
      <c r="Q242" s="134">
        <v>43.82</v>
      </c>
      <c r="R242" s="134">
        <v>100</v>
      </c>
      <c r="S242" s="94">
        <v>24.900000000000002</v>
      </c>
      <c r="T242" s="150">
        <v>23.27920613441588</v>
      </c>
      <c r="U242" s="99">
        <f>S242-T242</f>
        <v>1.6207938655841225</v>
      </c>
      <c r="V242" s="86"/>
      <c r="W242" s="86"/>
      <c r="X242" s="86" t="s">
        <v>211</v>
      </c>
      <c r="Y242" s="86" t="s">
        <v>376</v>
      </c>
      <c r="Z242" s="86" t="s">
        <v>352</v>
      </c>
      <c r="AA242" s="86" t="s">
        <v>51</v>
      </c>
      <c r="AB242" s="91" t="s">
        <v>351</v>
      </c>
      <c r="AC242" s="86" t="s">
        <v>160</v>
      </c>
      <c r="AD242" s="86">
        <f>AG242-AF242</f>
        <v>3.2000000000000455</v>
      </c>
      <c r="AE242" s="86" t="s">
        <v>153</v>
      </c>
      <c r="AF242" s="86">
        <v>2006.1</v>
      </c>
      <c r="AG242" s="86">
        <f>G242</f>
        <v>2009.3</v>
      </c>
      <c r="AH242" s="91"/>
      <c r="AI242" s="91"/>
      <c r="AJ242" s="91"/>
      <c r="AK242" s="91"/>
      <c r="AL242" s="86" t="s">
        <v>255</v>
      </c>
      <c r="AM242" s="86"/>
      <c r="AN242" s="86"/>
      <c r="AO242" s="86"/>
      <c r="AP242" s="86"/>
      <c r="AQ242" s="86" t="s">
        <v>44</v>
      </c>
      <c r="AR242" s="86">
        <v>2006.1</v>
      </c>
      <c r="AS242" s="86">
        <v>2006.6</v>
      </c>
      <c r="AT242" s="86"/>
      <c r="AU242" s="86"/>
      <c r="AV242" s="86"/>
      <c r="AW242" s="86"/>
      <c r="AX242" s="86"/>
      <c r="AY242" s="86"/>
      <c r="AZ242" s="86" t="s">
        <v>44</v>
      </c>
      <c r="BA242" s="86">
        <v>2006.3</v>
      </c>
      <c r="BB242" s="86">
        <v>2007.7</v>
      </c>
      <c r="BC242" s="86" t="s">
        <v>44</v>
      </c>
      <c r="BD242" s="86">
        <v>2009.6</v>
      </c>
      <c r="BE242" s="86"/>
      <c r="BF242" s="86" t="s">
        <v>182</v>
      </c>
      <c r="BG242" s="91">
        <v>2006.1</v>
      </c>
      <c r="BH242" s="86">
        <f>BG242+BI242</f>
        <v>2006.3</v>
      </c>
      <c r="BI242" s="91">
        <v>0.2</v>
      </c>
      <c r="BJ242" s="91" t="s">
        <v>353</v>
      </c>
      <c r="BK242" s="86" t="s">
        <v>149</v>
      </c>
    </row>
    <row r="243" spans="1:63" s="92" customFormat="1" x14ac:dyDescent="0.2">
      <c r="A243" s="86">
        <v>240</v>
      </c>
      <c r="B243" s="93" t="s">
        <v>63</v>
      </c>
      <c r="C243" s="86" t="s">
        <v>54</v>
      </c>
      <c r="D243" s="86" t="s">
        <v>354</v>
      </c>
      <c r="E243" s="155">
        <v>27.8</v>
      </c>
      <c r="F243" s="135">
        <v>1989</v>
      </c>
      <c r="G243" s="134">
        <v>2013.7</v>
      </c>
      <c r="H243" s="155" t="s">
        <v>47</v>
      </c>
      <c r="I243" s="91">
        <v>1.98</v>
      </c>
      <c r="J243" s="91">
        <v>2.2999999999999998</v>
      </c>
      <c r="K243" s="142">
        <v>1.1354240472208093</v>
      </c>
      <c r="L243" s="142">
        <v>1.84E-2</v>
      </c>
      <c r="M243" s="143">
        <v>126.8039966464638</v>
      </c>
      <c r="N243" s="144">
        <v>18.400000000000002</v>
      </c>
      <c r="O243" s="159"/>
      <c r="P243" s="159">
        <f>K243</f>
        <v>1.1354240472208093</v>
      </c>
      <c r="Q243" s="134">
        <v>83.5</v>
      </c>
      <c r="R243" s="134">
        <v>100</v>
      </c>
      <c r="S243" s="94">
        <v>22.016666666666666</v>
      </c>
      <c r="T243" s="143">
        <v>17.415426251691475</v>
      </c>
      <c r="U243" s="86">
        <f t="shared" ref="U243" si="17">S243-T243</f>
        <v>4.6012404149751909</v>
      </c>
      <c r="V243" s="86"/>
      <c r="W243" s="86"/>
      <c r="X243" s="86" t="s">
        <v>211</v>
      </c>
      <c r="Y243" s="86" t="s">
        <v>248</v>
      </c>
      <c r="Z243" s="86"/>
      <c r="AA243" s="86" t="s">
        <v>249</v>
      </c>
      <c r="AB243" s="86" t="s">
        <v>354</v>
      </c>
      <c r="AC243" s="86" t="s">
        <v>160</v>
      </c>
      <c r="AD243" s="86">
        <v>4</v>
      </c>
      <c r="AE243" s="86" t="s">
        <v>355</v>
      </c>
      <c r="AF243" s="86">
        <f>AG243-AD243</f>
        <v>2009.7</v>
      </c>
      <c r="AG243" s="86">
        <f>G243</f>
        <v>2013.7</v>
      </c>
      <c r="AH243" s="91"/>
      <c r="AI243" s="91"/>
      <c r="AJ243" s="91"/>
      <c r="AK243" s="91"/>
      <c r="AL243" s="86" t="s">
        <v>255</v>
      </c>
      <c r="AM243" s="86"/>
      <c r="AN243" s="86" t="s">
        <v>44</v>
      </c>
      <c r="AO243" s="86">
        <v>2009.3</v>
      </c>
      <c r="AP243" s="86">
        <v>2009.4</v>
      </c>
      <c r="AQ243" s="86"/>
      <c r="AR243" s="86"/>
      <c r="AS243" s="86"/>
      <c r="AT243" s="86"/>
      <c r="AU243" s="86"/>
      <c r="AV243" s="86"/>
      <c r="AW243" s="86"/>
      <c r="AX243" s="86"/>
      <c r="AY243" s="86"/>
      <c r="AZ243" s="86"/>
      <c r="BA243" s="86"/>
      <c r="BB243" s="86"/>
      <c r="BC243" s="86"/>
      <c r="BD243" s="86"/>
      <c r="BE243" s="86"/>
      <c r="BF243" s="86" t="s">
        <v>182</v>
      </c>
      <c r="BG243" s="91">
        <v>2009.3</v>
      </c>
      <c r="BH243" s="86">
        <f>BG243+BI243</f>
        <v>2009.6</v>
      </c>
      <c r="BI243" s="91">
        <v>0.3</v>
      </c>
      <c r="BJ243" s="91"/>
      <c r="BK243" s="86" t="s">
        <v>149</v>
      </c>
    </row>
    <row r="244" spans="1:63" x14ac:dyDescent="0.2">
      <c r="O244" s="1"/>
      <c r="P244" s="1"/>
      <c r="R244" s="16"/>
    </row>
    <row r="245" spans="1:63" x14ac:dyDescent="0.2">
      <c r="O245" s="1"/>
      <c r="P245" s="1"/>
      <c r="R245" s="16"/>
    </row>
    <row r="246" spans="1:63" x14ac:dyDescent="0.2">
      <c r="O246" s="1"/>
      <c r="P246" s="1"/>
      <c r="R246" s="16"/>
    </row>
    <row r="247" spans="1:63" x14ac:dyDescent="0.2">
      <c r="O247" s="1"/>
      <c r="P247" s="1"/>
      <c r="R247" s="46"/>
    </row>
    <row r="248" spans="1:63" x14ac:dyDescent="0.2">
      <c r="O248" s="1"/>
      <c r="P248" s="1"/>
      <c r="R248" s="46"/>
    </row>
    <row r="249" spans="1:63" x14ac:dyDescent="0.2">
      <c r="O249" s="1"/>
      <c r="P249" s="1"/>
      <c r="R249" s="46"/>
    </row>
    <row r="250" spans="1:63" x14ac:dyDescent="0.2">
      <c r="O250" s="1"/>
      <c r="P250" s="1"/>
      <c r="R250" s="46"/>
    </row>
    <row r="251" spans="1:63" x14ac:dyDescent="0.2">
      <c r="O251" s="1"/>
      <c r="P251" s="1"/>
      <c r="R251" s="46"/>
      <c r="BH251" s="61"/>
      <c r="BI251" s="61"/>
    </row>
    <row r="252" spans="1:63" x14ac:dyDescent="0.2">
      <c r="O252" s="1"/>
      <c r="P252" s="1"/>
      <c r="R252" s="46"/>
      <c r="BG252" s="3"/>
      <c r="BH252" s="62"/>
      <c r="BI252" s="62"/>
    </row>
    <row r="253" spans="1:63" x14ac:dyDescent="0.2">
      <c r="O253" s="1"/>
      <c r="P253" s="1"/>
      <c r="R253" s="46"/>
      <c r="BG253" s="3"/>
      <c r="BH253" s="62"/>
      <c r="BI253" s="62"/>
    </row>
    <row r="254" spans="1:63" x14ac:dyDescent="0.2">
      <c r="O254" s="1"/>
      <c r="P254" s="1"/>
      <c r="R254" s="46"/>
    </row>
    <row r="255" spans="1:63" x14ac:dyDescent="0.2">
      <c r="O255" s="1"/>
      <c r="P255" s="1"/>
      <c r="R255" s="46"/>
    </row>
    <row r="256" spans="1:63" x14ac:dyDescent="0.2">
      <c r="O256" s="1"/>
      <c r="P256" s="1"/>
      <c r="R256" s="46"/>
    </row>
    <row r="257" spans="10:18" x14ac:dyDescent="0.2">
      <c r="O257" s="1"/>
      <c r="P257" s="1"/>
      <c r="R257" s="46"/>
    </row>
    <row r="258" spans="10:18" x14ac:dyDescent="0.2">
      <c r="O258" s="1"/>
      <c r="P258" s="1"/>
      <c r="R258" s="46"/>
    </row>
    <row r="259" spans="10:18" x14ac:dyDescent="0.2">
      <c r="J259" s="46"/>
      <c r="O259" s="1"/>
      <c r="P259" s="1"/>
    </row>
    <row r="260" spans="10:18" x14ac:dyDescent="0.2">
      <c r="J260" s="46"/>
      <c r="O260" s="1"/>
      <c r="P260" s="1"/>
    </row>
    <row r="261" spans="10:18" x14ac:dyDescent="0.2">
      <c r="J261" s="46"/>
      <c r="O261" s="1"/>
      <c r="P261" s="1"/>
    </row>
    <row r="262" spans="10:18" x14ac:dyDescent="0.2">
      <c r="J262" s="46"/>
      <c r="O262" s="1"/>
      <c r="P262" s="1"/>
    </row>
    <row r="263" spans="10:18" x14ac:dyDescent="0.2">
      <c r="J263" s="46"/>
      <c r="N263" s="16"/>
      <c r="O263" s="1"/>
      <c r="P263" s="1"/>
    </row>
    <row r="264" spans="10:18" x14ac:dyDescent="0.2">
      <c r="J264" s="46"/>
      <c r="N264" s="16"/>
      <c r="O264" s="1"/>
      <c r="P264" s="1"/>
    </row>
    <row r="265" spans="10:18" x14ac:dyDescent="0.2">
      <c r="N265" s="46"/>
      <c r="O265" s="16"/>
      <c r="P265" s="1"/>
    </row>
    <row r="266" spans="10:18" x14ac:dyDescent="0.2">
      <c r="N266" s="46"/>
      <c r="O266" s="16"/>
      <c r="P266" s="1"/>
    </row>
    <row r="267" spans="10:18" x14ac:dyDescent="0.2">
      <c r="N267" s="46"/>
      <c r="O267" s="16"/>
      <c r="P267" s="1"/>
    </row>
    <row r="268" spans="10:18" x14ac:dyDescent="0.2">
      <c r="N268" s="46"/>
      <c r="O268" s="16"/>
      <c r="P268" s="1"/>
    </row>
    <row r="269" spans="10:18" x14ac:dyDescent="0.2">
      <c r="N269" s="46"/>
      <c r="O269" s="16"/>
      <c r="P269" s="1"/>
    </row>
    <row r="270" spans="10:18" x14ac:dyDescent="0.2">
      <c r="N270" s="46"/>
      <c r="O270" s="16"/>
      <c r="P270" s="1"/>
    </row>
    <row r="271" spans="10:18" x14ac:dyDescent="0.2">
      <c r="N271" s="46"/>
      <c r="O271" s="16"/>
      <c r="P271" s="1"/>
    </row>
    <row r="272" spans="10:18" x14ac:dyDescent="0.2">
      <c r="N272" s="46"/>
      <c r="O272" s="16"/>
      <c r="P272" s="1"/>
    </row>
  </sheetData>
  <conditionalFormatting sqref="R197">
    <cfRule type="expression" dxfId="4" priority="7">
      <formula>ISEVEN(CEILING(ROW()-6,4)/4)</formula>
    </cfRule>
  </conditionalFormatting>
  <conditionalFormatting sqref="R201">
    <cfRule type="expression" dxfId="3" priority="6">
      <formula>ISEVEN(CEILING(ROW()-6,4)/4)</formula>
    </cfRule>
  </conditionalFormatting>
  <conditionalFormatting sqref="R219">
    <cfRule type="expression" dxfId="2" priority="5">
      <formula>ISEVEN(CEILING(ROW()-6,4)/4)</formula>
    </cfRule>
  </conditionalFormatting>
  <conditionalFormatting sqref="R231:R232">
    <cfRule type="expression" dxfId="1" priority="3">
      <formula>ISEVEN(CEILING(ROW()-6,4)/4)</formula>
    </cfRule>
  </conditionalFormatting>
  <conditionalFormatting sqref="R236:R237">
    <cfRule type="expression" dxfId="0" priority="1">
      <formula>ISEVEN(CEILING(ROW()-6,4)/4)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Embla Steiner</dc:creator>
  <cp:lastModifiedBy>Embla Eugensdottir Steiner Malka</cp:lastModifiedBy>
  <dcterms:created xsi:type="dcterms:W3CDTF">2024-01-22T17:40:10Z</dcterms:created>
  <dcterms:modified xsi:type="dcterms:W3CDTF">2026-05-21T23:54:38Z</dcterms:modified>
</cp:coreProperties>
</file>